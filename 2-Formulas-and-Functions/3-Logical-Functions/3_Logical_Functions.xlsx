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2-Formulas &amp; Functions\3-Logical Functions\"/>
    </mc:Choice>
  </mc:AlternateContent>
  <xr:revisionPtr revIDLastSave="0" documentId="8_{03BF680E-92BF-4105-942B-AAD52BB7AAF7}" xr6:coauthVersionLast="47" xr6:coauthVersionMax="47" xr10:uidLastSave="{00000000-0000-0000-0000-000000000000}"/>
  <bookViews>
    <workbookView xWindow="0" yWindow="0" windowWidth="11520" windowHeight="12960" xr2:uid="{8CC555B5-3E06-43B6-9E5B-C0A1D3498DA4}"/>
  </bookViews>
  <sheets>
    <sheet name="Data_2" sheetId="10" r:id="rId1"/>
    <sheet name="Data3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3" l="1" a="1"/>
  <c r="R3" i="13" s="1"/>
  <c r="R4" i="13" a="1"/>
  <c r="R4" i="13" s="1"/>
  <c r="R5" i="13" a="1"/>
  <c r="R5" i="13"/>
  <c r="R6" i="13" a="1"/>
  <c r="R6" i="13" s="1"/>
  <c r="R7" i="13" a="1"/>
  <c r="R7" i="13" s="1"/>
  <c r="R8" i="13" a="1"/>
  <c r="R8" i="13" s="1"/>
  <c r="R9" i="13" a="1"/>
  <c r="R9" i="13"/>
  <c r="R10" i="13" a="1"/>
  <c r="R10" i="13"/>
  <c r="R11" i="13" a="1"/>
  <c r="R11" i="13" s="1"/>
  <c r="R12" i="13" a="1"/>
  <c r="R12" i="13" s="1"/>
  <c r="R13" i="13" a="1"/>
  <c r="R13" i="13"/>
  <c r="R14" i="13" a="1"/>
  <c r="R14" i="13"/>
  <c r="R15" i="13" a="1"/>
  <c r="R15" i="13" s="1"/>
  <c r="R16" i="13" a="1"/>
  <c r="R16" i="13" s="1"/>
  <c r="R17" i="13" a="1"/>
  <c r="R17" i="13"/>
  <c r="R18" i="13" a="1"/>
  <c r="R18" i="13"/>
  <c r="R19" i="13" a="1"/>
  <c r="R19" i="13" s="1"/>
  <c r="R20" i="13" a="1"/>
  <c r="R20" i="13" s="1"/>
  <c r="R21" i="13" a="1"/>
  <c r="R21" i="13" s="1"/>
  <c r="R2" i="13" a="1"/>
  <c r="R2" i="13" s="1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" i="13"/>
  <c r="O21" i="13"/>
  <c r="N21" i="13"/>
  <c r="M21" i="13"/>
  <c r="L21" i="13"/>
  <c r="K21" i="13"/>
  <c r="O20" i="13"/>
  <c r="N20" i="13"/>
  <c r="M20" i="13"/>
  <c r="L20" i="13"/>
  <c r="K20" i="13"/>
  <c r="O19" i="13"/>
  <c r="N19" i="13"/>
  <c r="M19" i="13"/>
  <c r="L19" i="13"/>
  <c r="K19" i="13"/>
  <c r="O18" i="13"/>
  <c r="N18" i="13"/>
  <c r="M18" i="13"/>
  <c r="L18" i="13"/>
  <c r="K18" i="13"/>
  <c r="O17" i="13"/>
  <c r="N17" i="13"/>
  <c r="M17" i="13"/>
  <c r="L17" i="13"/>
  <c r="K17" i="13"/>
  <c r="O16" i="13"/>
  <c r="N16" i="13"/>
  <c r="M16" i="13"/>
  <c r="L16" i="13"/>
  <c r="K16" i="13"/>
  <c r="O15" i="13"/>
  <c r="N15" i="13"/>
  <c r="M15" i="13"/>
  <c r="L15" i="13"/>
  <c r="K15" i="13"/>
  <c r="O14" i="13"/>
  <c r="N14" i="13"/>
  <c r="M14" i="13"/>
  <c r="L14" i="13"/>
  <c r="K14" i="13"/>
  <c r="O13" i="13"/>
  <c r="N13" i="13"/>
  <c r="M13" i="13"/>
  <c r="L13" i="13"/>
  <c r="K13" i="13"/>
  <c r="O12" i="13"/>
  <c r="N12" i="13"/>
  <c r="M12" i="13"/>
  <c r="L12" i="13"/>
  <c r="K12" i="13"/>
  <c r="O11" i="13"/>
  <c r="N11" i="13"/>
  <c r="M11" i="13"/>
  <c r="L11" i="13"/>
  <c r="K11" i="13"/>
  <c r="O10" i="13"/>
  <c r="N10" i="13"/>
  <c r="M10" i="13"/>
  <c r="L10" i="13"/>
  <c r="K10" i="13"/>
  <c r="O9" i="13"/>
  <c r="N9" i="13"/>
  <c r="M9" i="13"/>
  <c r="L9" i="13"/>
  <c r="K9" i="13"/>
  <c r="O8" i="13"/>
  <c r="N8" i="13"/>
  <c r="M8" i="13"/>
  <c r="L8" i="13"/>
  <c r="K8" i="13"/>
  <c r="O7" i="13"/>
  <c r="N7" i="13"/>
  <c r="M7" i="13"/>
  <c r="L7" i="13"/>
  <c r="K7" i="13"/>
  <c r="O6" i="13"/>
  <c r="N6" i="13"/>
  <c r="M6" i="13"/>
  <c r="L6" i="13"/>
  <c r="K6" i="13"/>
  <c r="O5" i="13"/>
  <c r="N5" i="13"/>
  <c r="M5" i="13"/>
  <c r="L5" i="13"/>
  <c r="K5" i="13"/>
  <c r="O4" i="13"/>
  <c r="N4" i="13"/>
  <c r="M4" i="13"/>
  <c r="L4" i="13"/>
  <c r="K4" i="13"/>
  <c r="O3" i="13"/>
  <c r="N3" i="13"/>
  <c r="M3" i="13"/>
  <c r="L3" i="13"/>
  <c r="K3" i="13"/>
  <c r="O2" i="13"/>
  <c r="N2" i="13"/>
  <c r="M2" i="13"/>
  <c r="L2" i="13"/>
  <c r="K2" i="13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 l="1"/>
  <c r="L6" i="10"/>
  <c r="L3" i="10"/>
  <c r="L4" i="10"/>
  <c r="L5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<sst xmlns="http://schemas.openxmlformats.org/spreadsheetml/2006/main" count="314" uniqueCount="98">
  <si>
    <t>Data Scientist</t>
  </si>
  <si>
    <t>Data Analyst</t>
  </si>
  <si>
    <t>Data Engineer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</si>
  <si>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</si>
  <si>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</si>
  <si>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</si>
  <si>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</si>
  <si>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</si>
  <si>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</si>
  <si>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</si>
  <si>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</si>
  <si>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</si>
  <si>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</si>
  <si>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</si>
  <si>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</si>
  <si>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</si>
  <si>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</si>
  <si>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</si>
  <si>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</si>
  <si>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</si>
  <si>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</si>
  <si>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</si>
  <si>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</si>
  <si>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</si>
  <si>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</si>
  <si>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</si>
  <si>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</si>
  <si>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</si>
  <si>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</si>
  <si>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</si>
  <si>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</si>
  <si>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</si>
  <si>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</si>
  <si>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</si>
  <si>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</si>
  <si>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</si>
  <si>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</si>
  <si>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</si>
  <si>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</si>
  <si>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</si>
  <si>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</si>
  <si>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</si>
  <si>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</si>
  <si>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</si>
  <si>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</si>
  <si>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</si>
  <si>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</si>
  <si>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</si>
  <si>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</si>
  <si>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</si>
  <si>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</si>
  <si>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</si>
  <si>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</si>
  <si>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</si>
  <si>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</si>
  <si>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</si>
  <si>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</si>
  <si>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</si>
  <si>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</si>
  <si>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</si>
  <si>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</si>
  <si>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</si>
  <si>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</si>
  <si>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</si>
  <si>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</si>
  <si>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</si>
  <si>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</si>
  <si>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</si>
  <si>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</si>
  <si>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</si>
  <si>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</si>
  <si>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</si>
  <si>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</si>
  <si>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</si>
  <si>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</si>
  <si>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</si>
  <si>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</si>
  <si>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</si>
  <si>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</si>
  <si>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</si>
  <si>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</si>
  <si>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</si>
  <si>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</si>
  <si>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</si>
  <si>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</si>
  <si>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</si>
  <si>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</si>
  <si>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</si>
  <si>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</si>
  <si>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</si>
  <si>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</si>
  <si>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</si>
  <si>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</si>
  <si>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</si>
  <si>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=AND()</t>
  </si>
  <si>
    <t>=OR()</t>
  </si>
  <si>
    <t>Buckets</t>
  </si>
  <si>
    <t>Both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</si>
</sst>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O15" sqref="O15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4.44140625" bestFit="1" customWidth="1"/>
    <col min="12" max="12" width="14.21875" bestFit="1" customWidth="1"/>
    <col min="13" max="13" width="9.44140625" hidden="1" customWidth="1"/>
    <col min="14" max="15" width="10.44140625" bestFit="1" customWidth="1"/>
    <col min="16" max="16" width="9.44140625" hidden="1" customWidth="1"/>
    <col min="17" max="17" width="6" bestFit="1" customWidth="1"/>
    <col min="18" max="18" width="7" bestFit="1" customWidth="1"/>
  </cols>
  <sheetData>
    <row r="1" spans="1:18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</v>
      </c>
      <c r="L1" s="3" t="s">
        <v>80</v>
      </c>
      <c r="M1" s="3" t="s">
        <v>93</v>
      </c>
      <c r="N1" s="3" t="s">
        <v>94</v>
      </c>
      <c r="O1" s="3" t="s">
        <v>95</v>
      </c>
      <c r="P1" s="3" t="s">
        <v>93</v>
      </c>
      <c r="Q1" s="3">
        <v>85000</v>
      </c>
      <c r="R1" s="3" t="s">
        <v>96</v>
      </c>
    </row>
    <row r="2" spans="1:18" x14ac:dyDescent="0.3">
      <c r="A2" s="1" t="s">
        <v>13</v>
      </c>
      <c r="B2" s="4">
        <v>44996.547291666669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135000</v>
      </c>
      <c r="I2" s="1" t="b">
        <v>0</v>
      </c>
      <c r="J2" s="1" t="s">
        <v>19</v>
      </c>
      <c r="K2" t="str">
        <f>IF($A2=K$1,"Role Desired","Role Not Desired")</f>
        <v>Role Not Desired</v>
      </c>
      <c r="L2" t="str">
        <f>IF($A2=L$1,"Role Desired","Role Not Desired")</f>
        <v>Role Not Desired</v>
      </c>
      <c r="M2" t="str">
        <f>IF(OR($A2=K$1,$A2=L$1),"Role Desired","Not Desired")</f>
        <v>Not Desired</v>
      </c>
      <c r="N2" t="str">
        <f>IF(AND($A2=K$1,$A2=L$1),"Role Desired","Not Desired")</f>
        <v>Not Desired</v>
      </c>
      <c r="O2" t="str">
        <f>IF(OR($A2=K$1,$A2=L$1),"Role Desired","Not Desired")</f>
        <v>Not Desired</v>
      </c>
    </row>
    <row r="3" spans="1:18" x14ac:dyDescent="0.3">
      <c r="A3" s="1" t="s">
        <v>1</v>
      </c>
      <c r="B3" s="4">
        <v>45097.915243055562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35000</v>
      </c>
      <c r="I3" s="1" t="b">
        <v>1</v>
      </c>
      <c r="J3" s="1" t="s">
        <v>25</v>
      </c>
      <c r="K3" t="str">
        <f t="shared" ref="K3:K21" si="0">IF(A3=K$1,"Role Desired","Role Not Desired")</f>
        <v>Role Desired</v>
      </c>
      <c r="L3" t="str">
        <f t="shared" ref="L3:L21" si="1">IF($A3=L$1,"Role Desired","Role Not Desired")</f>
        <v>Role Not Desired</v>
      </c>
      <c r="M3" t="str">
        <f t="shared" ref="M3:O3" si="2">IF(OR($A3=K$1,$A3=L$1),"Role Desired","Not Desired")</f>
        <v>Role Desired</v>
      </c>
      <c r="N3" t="str">
        <f t="shared" ref="N3:O21" si="3">IF(AND($A3=K$1,$A3=L$1),"Role Desired","Not Desired")</f>
        <v>Not Desired</v>
      </c>
      <c r="O3" t="str">
        <f t="shared" ref="O3:O21" si="4">IF(OR($A3=K$1,$A3=L$1),"Role Desired","Not Desired")</f>
        <v>Role Desired</v>
      </c>
    </row>
    <row r="4" spans="1:18" x14ac:dyDescent="0.3">
      <c r="A4" s="1" t="s">
        <v>1</v>
      </c>
      <c r="B4" s="4">
        <v>45173.250416666669</v>
      </c>
      <c r="C4" s="1" t="s">
        <v>26</v>
      </c>
      <c r="D4" s="1" t="s">
        <v>15</v>
      </c>
      <c r="E4" s="1" t="s">
        <v>27</v>
      </c>
      <c r="F4" s="1" t="s">
        <v>28</v>
      </c>
      <c r="G4" s="1" t="s">
        <v>18</v>
      </c>
      <c r="H4" s="1"/>
      <c r="I4" s="1" t="b">
        <v>0</v>
      </c>
      <c r="J4" s="1" t="s">
        <v>29</v>
      </c>
      <c r="K4" t="str">
        <f t="shared" si="0"/>
        <v>Role Desired</v>
      </c>
      <c r="L4" t="str">
        <f t="shared" si="1"/>
        <v>Role Not Desired</v>
      </c>
      <c r="M4" t="str">
        <f t="shared" ref="M4:O4" si="5">IF(OR($A4=K$1,$A4=L$1),"Role Desired","Not Desired")</f>
        <v>Role Desired</v>
      </c>
      <c r="N4" t="str">
        <f t="shared" si="3"/>
        <v>Not Desired</v>
      </c>
      <c r="O4" t="str">
        <f t="shared" si="4"/>
        <v>Role Desired</v>
      </c>
    </row>
    <row r="5" spans="1:18" x14ac:dyDescent="0.3">
      <c r="A5" s="1" t="s">
        <v>0</v>
      </c>
      <c r="B5" s="4">
        <v>45156.253321759257</v>
      </c>
      <c r="C5" s="1" t="s">
        <v>30</v>
      </c>
      <c r="D5" s="1" t="s">
        <v>15</v>
      </c>
      <c r="E5" s="1" t="s">
        <v>31</v>
      </c>
      <c r="F5" s="1" t="s">
        <v>28</v>
      </c>
      <c r="G5" s="1" t="s">
        <v>18</v>
      </c>
      <c r="H5" s="1"/>
      <c r="I5" s="1" t="b">
        <v>0</v>
      </c>
      <c r="J5" s="1" t="s">
        <v>32</v>
      </c>
      <c r="K5" t="str">
        <f t="shared" si="0"/>
        <v>Role Not Desired</v>
      </c>
      <c r="L5" t="str">
        <f t="shared" si="1"/>
        <v>Role Not Desired</v>
      </c>
      <c r="M5" t="str">
        <f t="shared" ref="M5:O5" si="6">IF(OR($A5=K$1,$A5=L$1),"Role Desired","Not Desired")</f>
        <v>Not Desired</v>
      </c>
      <c r="N5" t="str">
        <f t="shared" si="3"/>
        <v>Not Desired</v>
      </c>
      <c r="O5" t="str">
        <f t="shared" si="4"/>
        <v>Not Desired</v>
      </c>
    </row>
    <row r="6" spans="1:18" x14ac:dyDescent="0.3">
      <c r="A6" s="1" t="s">
        <v>33</v>
      </c>
      <c r="B6" s="4">
        <v>45147.802951388891</v>
      </c>
      <c r="C6" s="1" t="s">
        <v>34</v>
      </c>
      <c r="D6" s="1" t="s">
        <v>35</v>
      </c>
      <c r="E6" s="1" t="s">
        <v>36</v>
      </c>
      <c r="F6" s="1" t="s">
        <v>28</v>
      </c>
      <c r="G6" s="1" t="s">
        <v>18</v>
      </c>
      <c r="H6" s="1"/>
      <c r="I6" s="1" t="b">
        <v>0</v>
      </c>
      <c r="J6" s="1" t="s">
        <v>37</v>
      </c>
      <c r="K6" t="str">
        <f t="shared" si="0"/>
        <v>Role Not Desired</v>
      </c>
      <c r="L6" t="str">
        <f>IF($A6=L$1,"Role Desired","Role Not Desired")</f>
        <v>Role Not Desired</v>
      </c>
      <c r="M6" t="str">
        <f t="shared" ref="M6:O6" si="7">IF(OR($A6=K$1,$A6=L$1),"Role Desired","Not Desired")</f>
        <v>Not Desired</v>
      </c>
      <c r="N6" t="str">
        <f t="shared" si="3"/>
        <v>Not Desired</v>
      </c>
      <c r="O6" t="str">
        <f t="shared" si="4"/>
        <v>Not Desired</v>
      </c>
    </row>
    <row r="7" spans="1:18" x14ac:dyDescent="0.3">
      <c r="A7" s="1" t="s">
        <v>0</v>
      </c>
      <c r="B7" s="4">
        <v>45202.753101851849</v>
      </c>
      <c r="C7" s="1" t="s">
        <v>38</v>
      </c>
      <c r="D7" s="1" t="s">
        <v>15</v>
      </c>
      <c r="E7" s="1" t="s">
        <v>39</v>
      </c>
      <c r="F7" s="1" t="s">
        <v>28</v>
      </c>
      <c r="G7" s="1" t="s">
        <v>40</v>
      </c>
      <c r="H7" s="1"/>
      <c r="I7" s="1" t="b">
        <v>0</v>
      </c>
      <c r="J7" s="1" t="s">
        <v>41</v>
      </c>
      <c r="K7" t="str">
        <f t="shared" si="0"/>
        <v>Role Not Desired</v>
      </c>
      <c r="L7" t="str">
        <f t="shared" si="1"/>
        <v>Role Not Desired</v>
      </c>
      <c r="M7" t="str">
        <f t="shared" ref="M7:O7" si="8">IF(OR($A7=K$1,$A7=L$1),"Role Desired","Not Desired")</f>
        <v>Not Desired</v>
      </c>
      <c r="N7" t="str">
        <f t="shared" si="3"/>
        <v>Not Desired</v>
      </c>
      <c r="O7" t="str">
        <f t="shared" si="4"/>
        <v>Not Desired</v>
      </c>
    </row>
    <row r="8" spans="1:18" x14ac:dyDescent="0.3">
      <c r="A8" s="1" t="s">
        <v>1</v>
      </c>
      <c r="B8" s="4">
        <v>44949.850462962961</v>
      </c>
      <c r="C8" s="1" t="s">
        <v>42</v>
      </c>
      <c r="D8" s="1" t="s">
        <v>15</v>
      </c>
      <c r="E8" s="1" t="s">
        <v>43</v>
      </c>
      <c r="F8" s="1" t="s">
        <v>17</v>
      </c>
      <c r="G8" s="1" t="s">
        <v>18</v>
      </c>
      <c r="H8" s="1"/>
      <c r="I8" s="1" t="b">
        <v>0</v>
      </c>
      <c r="J8" s="1" t="s">
        <v>44</v>
      </c>
      <c r="K8" t="str">
        <f t="shared" si="0"/>
        <v>Role Desired</v>
      </c>
      <c r="L8" t="str">
        <f t="shared" si="1"/>
        <v>Role Not Desired</v>
      </c>
      <c r="M8" t="str">
        <f t="shared" ref="M8:O8" si="9">IF(OR($A8=K$1,$A8=L$1),"Role Desired","Not Desired")</f>
        <v>Role Desired</v>
      </c>
      <c r="N8" t="str">
        <f t="shared" si="3"/>
        <v>Not Desired</v>
      </c>
      <c r="O8" t="str">
        <f t="shared" si="4"/>
        <v>Role Desired</v>
      </c>
    </row>
    <row r="9" spans="1:18" x14ac:dyDescent="0.3">
      <c r="A9" s="1" t="s">
        <v>1</v>
      </c>
      <c r="B9" s="4">
        <v>45001.627175925933</v>
      </c>
      <c r="C9" s="1" t="s">
        <v>45</v>
      </c>
      <c r="D9" s="1" t="s">
        <v>15</v>
      </c>
      <c r="E9" s="1" t="s">
        <v>46</v>
      </c>
      <c r="F9" s="1" t="s">
        <v>47</v>
      </c>
      <c r="G9" s="1" t="s">
        <v>18</v>
      </c>
      <c r="H9" s="1">
        <v>115000</v>
      </c>
      <c r="I9" s="1" t="b">
        <v>0</v>
      </c>
      <c r="J9" s="1" t="s">
        <v>48</v>
      </c>
      <c r="K9" t="str">
        <f t="shared" si="0"/>
        <v>Role Desired</v>
      </c>
      <c r="L9" t="str">
        <f t="shared" si="1"/>
        <v>Role Not Desired</v>
      </c>
      <c r="M9" t="str">
        <f t="shared" ref="M9:O9" si="10">IF(OR($A9=K$1,$A9=L$1),"Role Desired","Not Desired")</f>
        <v>Role Desired</v>
      </c>
      <c r="N9" t="str">
        <f t="shared" si="3"/>
        <v>Not Desired</v>
      </c>
      <c r="O9" t="str">
        <f t="shared" si="4"/>
        <v>Role Desired</v>
      </c>
    </row>
    <row r="10" spans="1:18" x14ac:dyDescent="0.3">
      <c r="A10" s="1" t="s">
        <v>1</v>
      </c>
      <c r="B10" s="4">
        <v>45041.375868055547</v>
      </c>
      <c r="C10" s="1" t="s">
        <v>49</v>
      </c>
      <c r="D10" s="1" t="s">
        <v>15</v>
      </c>
      <c r="E10" s="1" t="s">
        <v>50</v>
      </c>
      <c r="F10" s="1" t="s">
        <v>17</v>
      </c>
      <c r="G10" s="1" t="s">
        <v>24</v>
      </c>
      <c r="H10" s="1"/>
      <c r="I10" s="1" t="b">
        <v>0</v>
      </c>
      <c r="J10" s="1" t="s">
        <v>51</v>
      </c>
      <c r="K10" t="str">
        <f t="shared" si="0"/>
        <v>Role Desired</v>
      </c>
      <c r="L10" t="str">
        <f t="shared" si="1"/>
        <v>Role Not Desired</v>
      </c>
      <c r="M10" t="str">
        <f t="shared" ref="M10:O10" si="11">IF(OR($A10=K$1,$A10=L$1),"Role Desired","Not Desired")</f>
        <v>Role Desired</v>
      </c>
      <c r="N10" t="str">
        <f t="shared" si="3"/>
        <v>Not Desired</v>
      </c>
      <c r="O10" t="str">
        <f t="shared" si="4"/>
        <v>Role Desired</v>
      </c>
    </row>
    <row r="11" spans="1:18" x14ac:dyDescent="0.3">
      <c r="A11" s="1" t="s">
        <v>1</v>
      </c>
      <c r="B11" s="4">
        <v>45106.587094907409</v>
      </c>
      <c r="C11" s="1" t="s">
        <v>52</v>
      </c>
      <c r="D11" s="1" t="s">
        <v>15</v>
      </c>
      <c r="E11" s="1" t="s">
        <v>53</v>
      </c>
      <c r="F11" s="1" t="s">
        <v>54</v>
      </c>
      <c r="G11" s="1" t="s">
        <v>18</v>
      </c>
      <c r="H11" s="1">
        <v>105000</v>
      </c>
      <c r="I11" s="1" t="b">
        <v>0</v>
      </c>
      <c r="J11" s="1" t="s">
        <v>55</v>
      </c>
      <c r="K11" t="str">
        <f t="shared" si="0"/>
        <v>Role Desired</v>
      </c>
      <c r="L11" t="str">
        <f t="shared" si="1"/>
        <v>Role Not Desired</v>
      </c>
      <c r="M11" t="str">
        <f t="shared" ref="M11:O11" si="12">IF(OR($A11=K$1,$A11=L$1),"Role Desired","Not Desired")</f>
        <v>Role Desired</v>
      </c>
      <c r="N11" t="str">
        <f t="shared" si="3"/>
        <v>Not Desired</v>
      </c>
      <c r="O11" t="str">
        <f t="shared" si="4"/>
        <v>Role Desired</v>
      </c>
    </row>
    <row r="12" spans="1:18" x14ac:dyDescent="0.3">
      <c r="A12" s="1" t="s">
        <v>0</v>
      </c>
      <c r="B12" s="4">
        <v>45029.919687499998</v>
      </c>
      <c r="C12" s="1" t="s">
        <v>56</v>
      </c>
      <c r="D12" s="1" t="s">
        <v>15</v>
      </c>
      <c r="E12" s="1" t="s">
        <v>57</v>
      </c>
      <c r="F12" s="1" t="s">
        <v>47</v>
      </c>
      <c r="G12" s="1" t="s">
        <v>18</v>
      </c>
      <c r="H12" s="1">
        <v>195000</v>
      </c>
      <c r="I12" s="1" t="b">
        <v>0</v>
      </c>
      <c r="J12" s="1" t="s">
        <v>58</v>
      </c>
      <c r="K12" t="str">
        <f t="shared" si="0"/>
        <v>Role Not Desired</v>
      </c>
      <c r="L12" t="str">
        <f t="shared" si="1"/>
        <v>Role Not Desired</v>
      </c>
      <c r="M12" t="str">
        <f t="shared" ref="M12:O12" si="13">IF(OR($A12=K$1,$A12=L$1),"Role Desired","Not Desired")</f>
        <v>Not Desired</v>
      </c>
      <c r="N12" t="str">
        <f t="shared" si="3"/>
        <v>Not Desired</v>
      </c>
      <c r="O12" t="str">
        <f t="shared" si="4"/>
        <v>Not Desired</v>
      </c>
    </row>
    <row r="13" spans="1:18" x14ac:dyDescent="0.3">
      <c r="A13" s="1" t="s">
        <v>59</v>
      </c>
      <c r="B13" s="4">
        <v>45091.502789351849</v>
      </c>
      <c r="C13" s="1" t="s">
        <v>60</v>
      </c>
      <c r="D13" s="1" t="s">
        <v>15</v>
      </c>
      <c r="E13" s="1" t="s">
        <v>61</v>
      </c>
      <c r="F13" s="1" t="s">
        <v>47</v>
      </c>
      <c r="G13" s="1" t="s">
        <v>18</v>
      </c>
      <c r="H13" s="1">
        <v>165000</v>
      </c>
      <c r="I13" s="1" t="b">
        <v>0</v>
      </c>
      <c r="J13" s="1" t="s">
        <v>62</v>
      </c>
      <c r="K13" t="str">
        <f t="shared" si="0"/>
        <v>Role Not Desired</v>
      </c>
      <c r="L13" t="str">
        <f t="shared" si="1"/>
        <v>Role Not Desired</v>
      </c>
      <c r="M13" t="str">
        <f t="shared" ref="M13:O13" si="14">IF(OR($A13=K$1,$A13=L$1),"Role Desired","Not Desired")</f>
        <v>Not Desired</v>
      </c>
      <c r="N13" t="str">
        <f t="shared" si="3"/>
        <v>Not Desired</v>
      </c>
      <c r="O13" t="str">
        <f t="shared" si="4"/>
        <v>Not Desired</v>
      </c>
    </row>
    <row r="14" spans="1:18" x14ac:dyDescent="0.3">
      <c r="A14" s="1" t="s">
        <v>0</v>
      </c>
      <c r="B14" s="4">
        <v>45175.543124999997</v>
      </c>
      <c r="C14" s="1" t="s">
        <v>63</v>
      </c>
      <c r="D14" s="1" t="s">
        <v>15</v>
      </c>
      <c r="E14" s="1" t="s">
        <v>64</v>
      </c>
      <c r="F14" s="1" t="s">
        <v>65</v>
      </c>
      <c r="G14" s="1" t="s">
        <v>18</v>
      </c>
      <c r="H14" s="1">
        <v>281450.5</v>
      </c>
      <c r="I14" s="1" t="b">
        <v>0</v>
      </c>
      <c r="J14" s="1" t="s">
        <v>66</v>
      </c>
      <c r="K14" t="str">
        <f t="shared" si="0"/>
        <v>Role Not Desired</v>
      </c>
      <c r="L14" t="str">
        <f t="shared" si="1"/>
        <v>Role Not Desired</v>
      </c>
      <c r="M14" t="str">
        <f t="shared" ref="M14:O14" si="15">IF(OR($A14=K$1,$A14=L$1),"Role Desired","Not Desired")</f>
        <v>Not Desired</v>
      </c>
      <c r="N14" t="str">
        <f t="shared" si="3"/>
        <v>Not Desired</v>
      </c>
      <c r="O14" t="str">
        <f t="shared" si="4"/>
        <v>Not Desired</v>
      </c>
    </row>
    <row r="15" spans="1:18" x14ac:dyDescent="0.3">
      <c r="A15" s="1" t="s">
        <v>0</v>
      </c>
      <c r="B15" s="4">
        <v>45117.778391203698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18</v>
      </c>
      <c r="H15" s="1">
        <v>70000</v>
      </c>
      <c r="I15" s="1" t="b">
        <v>0</v>
      </c>
      <c r="J15" s="1" t="s">
        <v>71</v>
      </c>
      <c r="K15" t="str">
        <f t="shared" si="0"/>
        <v>Role Not Desired</v>
      </c>
      <c r="L15" t="str">
        <f t="shared" si="1"/>
        <v>Role Not Desired</v>
      </c>
      <c r="M15" t="str">
        <f t="shared" ref="M15:O15" si="16">IF(OR($A15=K$1,$A15=L$1),"Role Desired","Not Desired")</f>
        <v>Not Desired</v>
      </c>
      <c r="N15" t="str">
        <f t="shared" si="3"/>
        <v>Not Desired</v>
      </c>
      <c r="O15" t="str">
        <f t="shared" si="4"/>
        <v>Not Desired</v>
      </c>
    </row>
    <row r="16" spans="1:18" x14ac:dyDescent="0.3">
      <c r="A16" s="1" t="s">
        <v>2</v>
      </c>
      <c r="B16" s="4">
        <v>44938.614351851851</v>
      </c>
      <c r="C16" s="1" t="s">
        <v>72</v>
      </c>
      <c r="D16" s="1" t="s">
        <v>73</v>
      </c>
      <c r="E16" s="1" t="s">
        <v>74</v>
      </c>
      <c r="F16" s="1" t="s">
        <v>70</v>
      </c>
      <c r="G16" s="1" t="s">
        <v>18</v>
      </c>
      <c r="H16" s="1">
        <v>98301.5</v>
      </c>
      <c r="I16" s="1" t="b">
        <v>0</v>
      </c>
      <c r="J16" s="1" t="s">
        <v>75</v>
      </c>
      <c r="K16" t="str">
        <f t="shared" si="0"/>
        <v>Role Not Desired</v>
      </c>
      <c r="L16" t="str">
        <f t="shared" si="1"/>
        <v>Role Not Desired</v>
      </c>
      <c r="M16" t="str">
        <f t="shared" ref="M16:O16" si="17">IF(OR($A16=K$1,$A16=L$1),"Role Desired","Not Desired")</f>
        <v>Not Desired</v>
      </c>
      <c r="N16" t="str">
        <f t="shared" si="3"/>
        <v>Not Desired</v>
      </c>
      <c r="O16" t="str">
        <f t="shared" si="4"/>
        <v>Not Desired</v>
      </c>
    </row>
    <row r="17" spans="1:15" x14ac:dyDescent="0.3">
      <c r="A17" s="1" t="s">
        <v>2</v>
      </c>
      <c r="B17" s="4">
        <v>44985.354097222233</v>
      </c>
      <c r="C17" s="1" t="s">
        <v>76</v>
      </c>
      <c r="D17" s="1" t="s">
        <v>77</v>
      </c>
      <c r="E17" s="1" t="s">
        <v>78</v>
      </c>
      <c r="F17" s="1" t="s">
        <v>70</v>
      </c>
      <c r="G17" s="1" t="s">
        <v>18</v>
      </c>
      <c r="H17" s="1">
        <v>89100</v>
      </c>
      <c r="I17" s="1" t="b">
        <v>0</v>
      </c>
      <c r="J17" s="1" t="s">
        <v>79</v>
      </c>
      <c r="K17" t="str">
        <f t="shared" si="0"/>
        <v>Role Not Desired</v>
      </c>
      <c r="L17" t="str">
        <f t="shared" si="1"/>
        <v>Role Not Desired</v>
      </c>
      <c r="M17" t="str">
        <f t="shared" ref="M17:O17" si="18">IF(OR($A17=K$1,$A17=L$1),"Role Desired","Not Desired")</f>
        <v>Not Desired</v>
      </c>
      <c r="N17" t="str">
        <f t="shared" si="3"/>
        <v>Not Desired</v>
      </c>
      <c r="O17" t="str">
        <f t="shared" si="4"/>
        <v>Not Desired</v>
      </c>
    </row>
    <row r="18" spans="1:15" x14ac:dyDescent="0.3">
      <c r="A18" s="1" t="s">
        <v>80</v>
      </c>
      <c r="B18" s="4">
        <v>45063.792291666658</v>
      </c>
      <c r="C18" s="1" t="s">
        <v>81</v>
      </c>
      <c r="D18" s="1" t="s">
        <v>15</v>
      </c>
      <c r="E18" s="1" t="s">
        <v>82</v>
      </c>
      <c r="F18" s="1" t="s">
        <v>47</v>
      </c>
      <c r="G18" s="1" t="s">
        <v>24</v>
      </c>
      <c r="H18" s="1"/>
      <c r="I18" s="1" t="b">
        <v>0</v>
      </c>
      <c r="J18" s="1" t="s">
        <v>83</v>
      </c>
      <c r="K18" t="str">
        <f t="shared" si="0"/>
        <v>Role Not Desired</v>
      </c>
      <c r="L18" t="str">
        <f t="shared" si="1"/>
        <v>Role Desired</v>
      </c>
      <c r="M18" t="str">
        <f t="shared" ref="M18:O18" si="19">IF(OR($A18=K$1,$A18=L$1),"Role Desired","Not Desired")</f>
        <v>Role Desired</v>
      </c>
      <c r="N18" t="str">
        <f t="shared" si="3"/>
        <v>Not Desired</v>
      </c>
      <c r="O18" t="str">
        <f t="shared" si="4"/>
        <v>Role Desired</v>
      </c>
    </row>
    <row r="19" spans="1:15" x14ac:dyDescent="0.3">
      <c r="A19" s="1" t="s">
        <v>0</v>
      </c>
      <c r="B19" s="4">
        <v>45017.004837962973</v>
      </c>
      <c r="C19" s="1" t="s">
        <v>84</v>
      </c>
      <c r="D19" s="1" t="s">
        <v>35</v>
      </c>
      <c r="E19" s="1" t="s">
        <v>85</v>
      </c>
      <c r="F19" s="1" t="s">
        <v>47</v>
      </c>
      <c r="G19" s="1" t="s">
        <v>18</v>
      </c>
      <c r="H19" s="1">
        <v>87500</v>
      </c>
      <c r="I19" s="1" t="b">
        <v>0</v>
      </c>
      <c r="J19" s="1" t="s">
        <v>86</v>
      </c>
      <c r="K19" t="str">
        <f t="shared" si="0"/>
        <v>Role Not Desired</v>
      </c>
      <c r="L19" t="str">
        <f t="shared" si="1"/>
        <v>Role Not Desired</v>
      </c>
      <c r="M19" t="str">
        <f t="shared" ref="M19:O19" si="20">IF(OR($A19=K$1,$A19=L$1),"Role Desired","Not Desired")</f>
        <v>Not Desired</v>
      </c>
      <c r="N19" t="str">
        <f t="shared" si="3"/>
        <v>Not Desired</v>
      </c>
      <c r="O19" t="str">
        <f t="shared" si="4"/>
        <v>Not Desired</v>
      </c>
    </row>
    <row r="20" spans="1:15" x14ac:dyDescent="0.3">
      <c r="A20" s="1" t="s">
        <v>0</v>
      </c>
      <c r="B20" s="4">
        <v>45169.64203703704</v>
      </c>
      <c r="C20" s="1" t="s">
        <v>20</v>
      </c>
      <c r="D20" s="1" t="s">
        <v>35</v>
      </c>
      <c r="E20" s="1" t="s">
        <v>87</v>
      </c>
      <c r="F20" s="1" t="s">
        <v>54</v>
      </c>
      <c r="G20" s="1" t="s">
        <v>24</v>
      </c>
      <c r="H20" s="1"/>
      <c r="I20" s="1" t="b">
        <v>1</v>
      </c>
      <c r="J20" s="1" t="s">
        <v>88</v>
      </c>
      <c r="K20" t="str">
        <f t="shared" si="0"/>
        <v>Role Not Desired</v>
      </c>
      <c r="L20" t="str">
        <f t="shared" si="1"/>
        <v>Role Not Desired</v>
      </c>
      <c r="M20" t="str">
        <f t="shared" ref="M20:O20" si="21">IF(OR($A20=K$1,$A20=L$1),"Role Desired","Not Desired")</f>
        <v>Not Desired</v>
      </c>
      <c r="N20" t="str">
        <f t="shared" si="3"/>
        <v>Not Desired</v>
      </c>
      <c r="O20" t="str">
        <f t="shared" si="4"/>
        <v>Not Desired</v>
      </c>
    </row>
    <row r="21" spans="1:15" x14ac:dyDescent="0.3">
      <c r="A21" s="1" t="s">
        <v>80</v>
      </c>
      <c r="B21" s="4">
        <v>45000.542685185188</v>
      </c>
      <c r="C21" s="1" t="s">
        <v>89</v>
      </c>
      <c r="D21" s="1" t="s">
        <v>15</v>
      </c>
      <c r="E21" s="1" t="s">
        <v>90</v>
      </c>
      <c r="F21" s="1" t="s">
        <v>91</v>
      </c>
      <c r="G21" s="1" t="s">
        <v>18</v>
      </c>
      <c r="H21" s="1">
        <v>90000</v>
      </c>
      <c r="I21" s="1" t="b">
        <v>0</v>
      </c>
      <c r="J21" s="1" t="s">
        <v>92</v>
      </c>
      <c r="K21" t="str">
        <f t="shared" si="0"/>
        <v>Role Not Desired</v>
      </c>
      <c r="L21" t="str">
        <f t="shared" si="1"/>
        <v>Role Desired</v>
      </c>
      <c r="M21" t="str">
        <f t="shared" ref="M21:O21" si="22">IF(OR($A21=K$1,$A21=L$1),"Role Desired","Not Desired")</f>
        <v>Role Desired</v>
      </c>
      <c r="N21" t="str">
        <f t="shared" si="3"/>
        <v>Not Desired</v>
      </c>
      <c r="O21" t="str">
        <f t="shared" si="4"/>
        <v>Role Desired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5854-F8FE-4380-ACB4-A6CDA46488F5}">
  <dimension ref="A1:R21"/>
  <sheetViews>
    <sheetView workbookViewId="0">
      <selection activeCell="U7" sqref="U7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4.44140625" hidden="1" customWidth="1"/>
    <col min="12" max="12" width="14.21875" hidden="1" customWidth="1"/>
    <col min="13" max="13" width="9.44140625" hidden="1" customWidth="1"/>
    <col min="14" max="14" width="10.44140625" hidden="1" customWidth="1"/>
    <col min="15" max="15" width="10.44140625" bestFit="1" customWidth="1"/>
    <col min="16" max="16" width="9.44140625" hidden="1" customWidth="1"/>
    <col min="17" max="17" width="9.77734375" bestFit="1" customWidth="1"/>
    <col min="18" max="18" width="11.109375" bestFit="1" customWidth="1"/>
  </cols>
  <sheetData>
    <row r="1" spans="1:18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</v>
      </c>
      <c r="L1" s="3" t="s">
        <v>80</v>
      </c>
      <c r="M1" s="3" t="s">
        <v>93</v>
      </c>
      <c r="N1" s="3" t="s">
        <v>94</v>
      </c>
      <c r="O1" s="3" t="s">
        <v>97</v>
      </c>
      <c r="P1" s="3" t="s">
        <v>93</v>
      </c>
      <c r="Q1" s="3">
        <v>85000</v>
      </c>
      <c r="R1" s="3" t="s">
        <v>96</v>
      </c>
    </row>
    <row r="2" spans="1:18" x14ac:dyDescent="0.3">
      <c r="A2" s="1" t="s">
        <v>13</v>
      </c>
      <c r="B2" s="4">
        <v>44996.547291666669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135000</v>
      </c>
      <c r="I2" s="1" t="b">
        <v>0</v>
      </c>
      <c r="J2" s="1" t="s">
        <v>19</v>
      </c>
      <c r="K2" t="str">
        <f>IF($A2=K$1,"Role Desired","Role Not Desired")</f>
        <v>Role Not Desired</v>
      </c>
      <c r="L2" t="str">
        <f>IF($A2=L$1,"Role Desired","Role Not Desired")</f>
        <v>Role Not Desired</v>
      </c>
      <c r="M2" t="str">
        <f>IF(OR($A2=K$1,$A2=L$1),"Role Desired","Not Desired")</f>
        <v>Not Desired</v>
      </c>
      <c r="N2" t="str">
        <f>IF(AND($A2=K$1,$A2=L$1),"Role Desired","Not Desired")</f>
        <v>Not Desired</v>
      </c>
      <c r="O2" t="str">
        <f>IF(OR($A2=K$1,$A2=L$1),"Role Desired","Not Desired")</f>
        <v>Not Desired</v>
      </c>
      <c r="Q2" t="str">
        <f>IF($H2&gt;$Q$1,"Salary&gt;85k","Salary lower")</f>
        <v>Salary&gt;85k</v>
      </c>
      <c r="R2" t="str" cm="1">
        <f t="array" ref="R2">_xlfn.IFS($H2="","no data",$H2&gt;$Q$1,"Salary&gt;85k", TRUE, "Salary Lower")</f>
        <v>Salary&gt;85k</v>
      </c>
    </row>
    <row r="3" spans="1:18" x14ac:dyDescent="0.3">
      <c r="A3" s="1" t="s">
        <v>1</v>
      </c>
      <c r="B3" s="4">
        <v>45097.915243055562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35000</v>
      </c>
      <c r="I3" s="1" t="b">
        <v>1</v>
      </c>
      <c r="J3" s="1" t="s">
        <v>25</v>
      </c>
      <c r="K3" t="str">
        <f t="shared" ref="K3:K21" si="0">IF(A3=K$1,"Role Desired","Role Not Desired")</f>
        <v>Role Desired</v>
      </c>
      <c r="L3" t="str">
        <f t="shared" ref="L3:L21" si="1">IF($A3=L$1,"Role Desired","Role Not Desired")</f>
        <v>Role Not Desired</v>
      </c>
      <c r="M3" t="str">
        <f t="shared" ref="M3:M21" si="2">IF(OR($A3=K$1,$A3=L$1),"Role Desired","Not Desired")</f>
        <v>Role Desired</v>
      </c>
      <c r="N3" t="str">
        <f t="shared" ref="N3:N21" si="3">IF(AND($A3=K$1,$A3=L$1),"Role Desired","Not Desired")</f>
        <v>Not Desired</v>
      </c>
      <c r="O3" t="str">
        <f t="shared" ref="O3:O21" si="4">IF(OR($A3=K$1,$A3=L$1),"Role Desired","Not Desired")</f>
        <v>Role Desired</v>
      </c>
      <c r="Q3" t="str">
        <f t="shared" ref="Q3:Q21" si="5">IF($H3&gt;$Q$1,"Salary&gt;85k","Salary lower")</f>
        <v>Salary lower</v>
      </c>
      <c r="R3" t="str" cm="1">
        <f t="array" ref="R3">_xlfn.IFS($H3="","no data",$H3&gt;$Q$1,"Salary&gt;85k", TRUE, "Salary Lower")</f>
        <v>Salary Lower</v>
      </c>
    </row>
    <row r="4" spans="1:18" x14ac:dyDescent="0.3">
      <c r="A4" s="1" t="s">
        <v>1</v>
      </c>
      <c r="B4" s="4">
        <v>45173.250416666669</v>
      </c>
      <c r="C4" s="1" t="s">
        <v>26</v>
      </c>
      <c r="D4" s="1" t="s">
        <v>15</v>
      </c>
      <c r="E4" s="1" t="s">
        <v>27</v>
      </c>
      <c r="F4" s="1" t="s">
        <v>28</v>
      </c>
      <c r="G4" s="1" t="s">
        <v>18</v>
      </c>
      <c r="H4" s="1"/>
      <c r="I4" s="1" t="b">
        <v>0</v>
      </c>
      <c r="J4" s="1" t="s">
        <v>29</v>
      </c>
      <c r="K4" t="str">
        <f t="shared" si="0"/>
        <v>Role Desired</v>
      </c>
      <c r="L4" t="str">
        <f t="shared" si="1"/>
        <v>Role Not Desired</v>
      </c>
      <c r="M4" t="str">
        <f t="shared" si="2"/>
        <v>Role Desired</v>
      </c>
      <c r="N4" t="str">
        <f t="shared" si="3"/>
        <v>Not Desired</v>
      </c>
      <c r="O4" t="str">
        <f t="shared" si="4"/>
        <v>Role Desired</v>
      </c>
      <c r="Q4" t="str">
        <f t="shared" si="5"/>
        <v>Salary lower</v>
      </c>
      <c r="R4" t="str" cm="1">
        <f t="array" ref="R4">_xlfn.IFS($H4="","no data",$H4&gt;$Q$1,"Salary&gt;85k", TRUE, "Salary Lower")</f>
        <v>no data</v>
      </c>
    </row>
    <row r="5" spans="1:18" x14ac:dyDescent="0.3">
      <c r="A5" s="1" t="s">
        <v>0</v>
      </c>
      <c r="B5" s="4">
        <v>45156.253321759257</v>
      </c>
      <c r="C5" s="1" t="s">
        <v>30</v>
      </c>
      <c r="D5" s="1" t="s">
        <v>15</v>
      </c>
      <c r="E5" s="1" t="s">
        <v>31</v>
      </c>
      <c r="F5" s="1" t="s">
        <v>28</v>
      </c>
      <c r="G5" s="1" t="s">
        <v>18</v>
      </c>
      <c r="H5" s="1"/>
      <c r="I5" s="1" t="b">
        <v>0</v>
      </c>
      <c r="J5" s="1" t="s">
        <v>32</v>
      </c>
      <c r="K5" t="str">
        <f t="shared" si="0"/>
        <v>Role Not Desired</v>
      </c>
      <c r="L5" t="str">
        <f t="shared" si="1"/>
        <v>Role Not Desired</v>
      </c>
      <c r="M5" t="str">
        <f t="shared" si="2"/>
        <v>Not Desired</v>
      </c>
      <c r="N5" t="str">
        <f t="shared" si="3"/>
        <v>Not Desired</v>
      </c>
      <c r="O5" t="str">
        <f t="shared" si="4"/>
        <v>Not Desired</v>
      </c>
      <c r="Q5" t="str">
        <f t="shared" si="5"/>
        <v>Salary lower</v>
      </c>
      <c r="R5" t="str" cm="1">
        <f t="array" ref="R5">_xlfn.IFS($H5="","no data",$H5&gt;$Q$1,"Salary&gt;85k", TRUE, "Salary Lower")</f>
        <v>no data</v>
      </c>
    </row>
    <row r="6" spans="1:18" x14ac:dyDescent="0.3">
      <c r="A6" s="1" t="s">
        <v>33</v>
      </c>
      <c r="B6" s="4">
        <v>45147.802951388891</v>
      </c>
      <c r="C6" s="1" t="s">
        <v>34</v>
      </c>
      <c r="D6" s="1" t="s">
        <v>35</v>
      </c>
      <c r="E6" s="1" t="s">
        <v>36</v>
      </c>
      <c r="F6" s="1" t="s">
        <v>28</v>
      </c>
      <c r="G6" s="1" t="s">
        <v>18</v>
      </c>
      <c r="H6" s="1"/>
      <c r="I6" s="1" t="b">
        <v>0</v>
      </c>
      <c r="J6" s="1" t="s">
        <v>37</v>
      </c>
      <c r="K6" t="str">
        <f t="shared" si="0"/>
        <v>Role Not Desired</v>
      </c>
      <c r="L6" t="str">
        <f>IF($A6=L$1,"Role Desired","Role Not Desired")</f>
        <v>Role Not Desired</v>
      </c>
      <c r="M6" t="str">
        <f t="shared" si="2"/>
        <v>Not Desired</v>
      </c>
      <c r="N6" t="str">
        <f t="shared" si="3"/>
        <v>Not Desired</v>
      </c>
      <c r="O6" t="str">
        <f t="shared" si="4"/>
        <v>Not Desired</v>
      </c>
      <c r="Q6" t="str">
        <f t="shared" si="5"/>
        <v>Salary lower</v>
      </c>
      <c r="R6" t="str" cm="1">
        <f t="array" ref="R6">_xlfn.IFS($H6="","no data",$H6&gt;$Q$1,"Salary&gt;85k", TRUE, "Salary Lower")</f>
        <v>no data</v>
      </c>
    </row>
    <row r="7" spans="1:18" x14ac:dyDescent="0.3">
      <c r="A7" s="1" t="s">
        <v>0</v>
      </c>
      <c r="B7" s="4">
        <v>45202.753101851849</v>
      </c>
      <c r="C7" s="1" t="s">
        <v>38</v>
      </c>
      <c r="D7" s="1" t="s">
        <v>15</v>
      </c>
      <c r="E7" s="1" t="s">
        <v>39</v>
      </c>
      <c r="F7" s="1" t="s">
        <v>28</v>
      </c>
      <c r="G7" s="1" t="s">
        <v>40</v>
      </c>
      <c r="H7" s="1"/>
      <c r="I7" s="1" t="b">
        <v>0</v>
      </c>
      <c r="J7" s="1" t="s">
        <v>41</v>
      </c>
      <c r="K7" t="str">
        <f t="shared" si="0"/>
        <v>Role Not Desired</v>
      </c>
      <c r="L7" t="str">
        <f t="shared" si="1"/>
        <v>Role Not Desired</v>
      </c>
      <c r="M7" t="str">
        <f t="shared" si="2"/>
        <v>Not Desired</v>
      </c>
      <c r="N7" t="str">
        <f t="shared" si="3"/>
        <v>Not Desired</v>
      </c>
      <c r="O7" t="str">
        <f t="shared" si="4"/>
        <v>Not Desired</v>
      </c>
      <c r="Q7" t="str">
        <f t="shared" si="5"/>
        <v>Salary lower</v>
      </c>
      <c r="R7" t="str" cm="1">
        <f t="array" ref="R7">_xlfn.IFS($H7="","no data",$H7&gt;$Q$1,"Salary&gt;85k", TRUE, "Salary Lower")</f>
        <v>no data</v>
      </c>
    </row>
    <row r="8" spans="1:18" x14ac:dyDescent="0.3">
      <c r="A8" s="1" t="s">
        <v>1</v>
      </c>
      <c r="B8" s="4">
        <v>44949.850462962961</v>
      </c>
      <c r="C8" s="1" t="s">
        <v>42</v>
      </c>
      <c r="D8" s="1" t="s">
        <v>15</v>
      </c>
      <c r="E8" s="1" t="s">
        <v>43</v>
      </c>
      <c r="F8" s="1" t="s">
        <v>17</v>
      </c>
      <c r="G8" s="1" t="s">
        <v>18</v>
      </c>
      <c r="H8" s="1"/>
      <c r="I8" s="1" t="b">
        <v>0</v>
      </c>
      <c r="J8" s="1" t="s">
        <v>44</v>
      </c>
      <c r="K8" t="str">
        <f t="shared" si="0"/>
        <v>Role Desired</v>
      </c>
      <c r="L8" t="str">
        <f t="shared" si="1"/>
        <v>Role Not Desired</v>
      </c>
      <c r="M8" t="str">
        <f t="shared" si="2"/>
        <v>Role Desired</v>
      </c>
      <c r="N8" t="str">
        <f t="shared" si="3"/>
        <v>Not Desired</v>
      </c>
      <c r="O8" t="str">
        <f t="shared" si="4"/>
        <v>Role Desired</v>
      </c>
      <c r="Q8" t="str">
        <f t="shared" si="5"/>
        <v>Salary lower</v>
      </c>
      <c r="R8" t="str" cm="1">
        <f t="array" ref="R8">_xlfn.IFS($H8="","no data",$H8&gt;$Q$1,"Salary&gt;85k", TRUE, "Salary Lower")</f>
        <v>no data</v>
      </c>
    </row>
    <row r="9" spans="1:18" x14ac:dyDescent="0.3">
      <c r="A9" s="1" t="s">
        <v>1</v>
      </c>
      <c r="B9" s="4">
        <v>45001.627175925933</v>
      </c>
      <c r="C9" s="1" t="s">
        <v>45</v>
      </c>
      <c r="D9" s="1" t="s">
        <v>15</v>
      </c>
      <c r="E9" s="1" t="s">
        <v>46</v>
      </c>
      <c r="F9" s="1" t="s">
        <v>47</v>
      </c>
      <c r="G9" s="1" t="s">
        <v>18</v>
      </c>
      <c r="H9" s="1">
        <v>115000</v>
      </c>
      <c r="I9" s="1" t="b">
        <v>0</v>
      </c>
      <c r="J9" s="1" t="s">
        <v>48</v>
      </c>
      <c r="K9" t="str">
        <f t="shared" si="0"/>
        <v>Role Desired</v>
      </c>
      <c r="L9" t="str">
        <f t="shared" si="1"/>
        <v>Role Not Desired</v>
      </c>
      <c r="M9" t="str">
        <f t="shared" si="2"/>
        <v>Role Desired</v>
      </c>
      <c r="N9" t="str">
        <f t="shared" si="3"/>
        <v>Not Desired</v>
      </c>
      <c r="O9" t="str">
        <f t="shared" si="4"/>
        <v>Role Desired</v>
      </c>
      <c r="Q9" t="str">
        <f t="shared" si="5"/>
        <v>Salary&gt;85k</v>
      </c>
      <c r="R9" t="str" cm="1">
        <f t="array" ref="R9">_xlfn.IFS($H9="","no data",$H9&gt;$Q$1,"Salary&gt;85k", TRUE, "Salary Lower")</f>
        <v>Salary&gt;85k</v>
      </c>
    </row>
    <row r="10" spans="1:18" x14ac:dyDescent="0.3">
      <c r="A10" s="1" t="s">
        <v>1</v>
      </c>
      <c r="B10" s="4">
        <v>45041.375868055547</v>
      </c>
      <c r="C10" s="1" t="s">
        <v>49</v>
      </c>
      <c r="D10" s="1" t="s">
        <v>15</v>
      </c>
      <c r="E10" s="1" t="s">
        <v>50</v>
      </c>
      <c r="F10" s="1" t="s">
        <v>17</v>
      </c>
      <c r="G10" s="1" t="s">
        <v>24</v>
      </c>
      <c r="H10" s="1"/>
      <c r="I10" s="1" t="b">
        <v>0</v>
      </c>
      <c r="J10" s="1" t="s">
        <v>51</v>
      </c>
      <c r="K10" t="str">
        <f t="shared" si="0"/>
        <v>Role Desired</v>
      </c>
      <c r="L10" t="str">
        <f t="shared" si="1"/>
        <v>Role Not Desired</v>
      </c>
      <c r="M10" t="str">
        <f t="shared" si="2"/>
        <v>Role Desired</v>
      </c>
      <c r="N10" t="str">
        <f t="shared" si="3"/>
        <v>Not Desired</v>
      </c>
      <c r="O10" t="str">
        <f t="shared" si="4"/>
        <v>Role Desired</v>
      </c>
      <c r="Q10" t="str">
        <f t="shared" si="5"/>
        <v>Salary lower</v>
      </c>
      <c r="R10" t="str" cm="1">
        <f t="array" ref="R10">_xlfn.IFS($H10="","no data",$H10&gt;$Q$1,"Salary&gt;85k", TRUE, "Salary Lower")</f>
        <v>no data</v>
      </c>
    </row>
    <row r="11" spans="1:18" x14ac:dyDescent="0.3">
      <c r="A11" s="1" t="s">
        <v>1</v>
      </c>
      <c r="B11" s="4">
        <v>45106.587094907409</v>
      </c>
      <c r="C11" s="1" t="s">
        <v>52</v>
      </c>
      <c r="D11" s="1" t="s">
        <v>15</v>
      </c>
      <c r="E11" s="1" t="s">
        <v>53</v>
      </c>
      <c r="F11" s="1" t="s">
        <v>54</v>
      </c>
      <c r="G11" s="1" t="s">
        <v>18</v>
      </c>
      <c r="H11" s="1">
        <v>105000</v>
      </c>
      <c r="I11" s="1" t="b">
        <v>0</v>
      </c>
      <c r="J11" s="1" t="s">
        <v>55</v>
      </c>
      <c r="K11" t="str">
        <f t="shared" si="0"/>
        <v>Role Desired</v>
      </c>
      <c r="L11" t="str">
        <f t="shared" si="1"/>
        <v>Role Not Desired</v>
      </c>
      <c r="M11" t="str">
        <f t="shared" si="2"/>
        <v>Role Desired</v>
      </c>
      <c r="N11" t="str">
        <f t="shared" si="3"/>
        <v>Not Desired</v>
      </c>
      <c r="O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data",$H11&gt;$Q$1,"Salary&gt;85k", TRUE, "Salary Lower")</f>
        <v>Salary&gt;85k</v>
      </c>
    </row>
    <row r="12" spans="1:18" x14ac:dyDescent="0.3">
      <c r="A12" s="1" t="s">
        <v>0</v>
      </c>
      <c r="B12" s="4">
        <v>45029.919687499998</v>
      </c>
      <c r="C12" s="1" t="s">
        <v>56</v>
      </c>
      <c r="D12" s="1" t="s">
        <v>15</v>
      </c>
      <c r="E12" s="1" t="s">
        <v>57</v>
      </c>
      <c r="F12" s="1" t="s">
        <v>47</v>
      </c>
      <c r="G12" s="1" t="s">
        <v>18</v>
      </c>
      <c r="H12" s="1">
        <v>195000</v>
      </c>
      <c r="I12" s="1" t="b">
        <v>0</v>
      </c>
      <c r="J12" s="1" t="s">
        <v>58</v>
      </c>
      <c r="K12" t="str">
        <f t="shared" si="0"/>
        <v>Role Not Desired</v>
      </c>
      <c r="L12" t="str">
        <f t="shared" si="1"/>
        <v>Role Not Desired</v>
      </c>
      <c r="M12" t="str">
        <f t="shared" si="2"/>
        <v>Not Desired</v>
      </c>
      <c r="N12" t="str">
        <f t="shared" si="3"/>
        <v>Not Desired</v>
      </c>
      <c r="O12" t="str">
        <f t="shared" si="4"/>
        <v>Not Desired</v>
      </c>
      <c r="Q12" t="str">
        <f t="shared" si="5"/>
        <v>Salary&gt;85k</v>
      </c>
      <c r="R12" t="str" cm="1">
        <f t="array" ref="R12">_xlfn.IFS($H12="","no data",$H12&gt;$Q$1,"Salary&gt;85k", TRUE, "Salary Lower")</f>
        <v>Salary&gt;85k</v>
      </c>
    </row>
    <row r="13" spans="1:18" x14ac:dyDescent="0.3">
      <c r="A13" s="1" t="s">
        <v>59</v>
      </c>
      <c r="B13" s="4">
        <v>45091.502789351849</v>
      </c>
      <c r="C13" s="1" t="s">
        <v>60</v>
      </c>
      <c r="D13" s="1" t="s">
        <v>15</v>
      </c>
      <c r="E13" s="1" t="s">
        <v>61</v>
      </c>
      <c r="F13" s="1" t="s">
        <v>47</v>
      </c>
      <c r="G13" s="1" t="s">
        <v>18</v>
      </c>
      <c r="H13" s="1">
        <v>165000</v>
      </c>
      <c r="I13" s="1" t="b">
        <v>0</v>
      </c>
      <c r="J13" s="1" t="s">
        <v>62</v>
      </c>
      <c r="K13" t="str">
        <f t="shared" si="0"/>
        <v>Role Not Desired</v>
      </c>
      <c r="L13" t="str">
        <f t="shared" si="1"/>
        <v>Role Not Desired</v>
      </c>
      <c r="M13" t="str">
        <f t="shared" si="2"/>
        <v>Not Desired</v>
      </c>
      <c r="N13" t="str">
        <f t="shared" si="3"/>
        <v>Not Desired</v>
      </c>
      <c r="O13" t="str">
        <f t="shared" si="4"/>
        <v>Not Desired</v>
      </c>
      <c r="Q13" t="str">
        <f t="shared" si="5"/>
        <v>Salary&gt;85k</v>
      </c>
      <c r="R13" t="str" cm="1">
        <f t="array" ref="R13">_xlfn.IFS($H13="","no data",$H13&gt;$Q$1,"Salary&gt;85k", TRUE, "Salary Lower")</f>
        <v>Salary&gt;85k</v>
      </c>
    </row>
    <row r="14" spans="1:18" x14ac:dyDescent="0.3">
      <c r="A14" s="1" t="s">
        <v>0</v>
      </c>
      <c r="B14" s="4">
        <v>45175.543124999997</v>
      </c>
      <c r="C14" s="1" t="s">
        <v>63</v>
      </c>
      <c r="D14" s="1" t="s">
        <v>15</v>
      </c>
      <c r="E14" s="1" t="s">
        <v>64</v>
      </c>
      <c r="F14" s="1" t="s">
        <v>65</v>
      </c>
      <c r="G14" s="1" t="s">
        <v>18</v>
      </c>
      <c r="H14" s="1">
        <v>281450.5</v>
      </c>
      <c r="I14" s="1" t="b">
        <v>0</v>
      </c>
      <c r="J14" s="1" t="s">
        <v>66</v>
      </c>
      <c r="K14" t="str">
        <f t="shared" si="0"/>
        <v>Role Not Desired</v>
      </c>
      <c r="L14" t="str">
        <f t="shared" si="1"/>
        <v>Role Not Desired</v>
      </c>
      <c r="M14" t="str">
        <f t="shared" si="2"/>
        <v>Not Desired</v>
      </c>
      <c r="N14" t="str">
        <f t="shared" si="3"/>
        <v>Not Desired</v>
      </c>
      <c r="O14" t="str">
        <f t="shared" si="4"/>
        <v>Not Desired</v>
      </c>
      <c r="Q14" t="str">
        <f t="shared" si="5"/>
        <v>Salary&gt;85k</v>
      </c>
      <c r="R14" t="str" cm="1">
        <f t="array" ref="R14">_xlfn.IFS($H14="","no data",$H14&gt;$Q$1,"Salary&gt;85k", TRUE, "Salary Lower")</f>
        <v>Salary&gt;85k</v>
      </c>
    </row>
    <row r="15" spans="1:18" x14ac:dyDescent="0.3">
      <c r="A15" s="1" t="s">
        <v>0</v>
      </c>
      <c r="B15" s="4">
        <v>45117.778391203698</v>
      </c>
      <c r="C15" s="1" t="s">
        <v>67</v>
      </c>
      <c r="D15" s="1" t="s">
        <v>68</v>
      </c>
      <c r="E15" s="1" t="s">
        <v>69</v>
      </c>
      <c r="F15" s="1" t="s">
        <v>70</v>
      </c>
      <c r="G15" s="1" t="s">
        <v>18</v>
      </c>
      <c r="H15" s="1">
        <v>70000</v>
      </c>
      <c r="I15" s="1" t="b">
        <v>0</v>
      </c>
      <c r="J15" s="1" t="s">
        <v>71</v>
      </c>
      <c r="K15" t="str">
        <f t="shared" si="0"/>
        <v>Role Not Desired</v>
      </c>
      <c r="L15" t="str">
        <f t="shared" si="1"/>
        <v>Role Not Desired</v>
      </c>
      <c r="M15" t="str">
        <f t="shared" si="2"/>
        <v>Not Desired</v>
      </c>
      <c r="N15" t="str">
        <f t="shared" si="3"/>
        <v>Not Desired</v>
      </c>
      <c r="O15" t="str">
        <f t="shared" si="4"/>
        <v>Not Desired</v>
      </c>
      <c r="Q15" t="str">
        <f t="shared" si="5"/>
        <v>Salary lower</v>
      </c>
      <c r="R15" t="str" cm="1">
        <f t="array" ref="R15">_xlfn.IFS($H15="","no data",$H15&gt;$Q$1,"Salary&gt;85k", TRUE, "Salary Lower")</f>
        <v>Salary Lower</v>
      </c>
    </row>
    <row r="16" spans="1:18" x14ac:dyDescent="0.3">
      <c r="A16" s="1" t="s">
        <v>2</v>
      </c>
      <c r="B16" s="4">
        <v>44938.614351851851</v>
      </c>
      <c r="C16" s="1" t="s">
        <v>72</v>
      </c>
      <c r="D16" s="1" t="s">
        <v>73</v>
      </c>
      <c r="E16" s="1" t="s">
        <v>74</v>
      </c>
      <c r="F16" s="1" t="s">
        <v>70</v>
      </c>
      <c r="G16" s="1" t="s">
        <v>18</v>
      </c>
      <c r="H16" s="1">
        <v>98301.5</v>
      </c>
      <c r="I16" s="1" t="b">
        <v>0</v>
      </c>
      <c r="J16" s="1" t="s">
        <v>75</v>
      </c>
      <c r="K16" t="str">
        <f t="shared" si="0"/>
        <v>Role Not Desired</v>
      </c>
      <c r="L16" t="str">
        <f t="shared" si="1"/>
        <v>Role Not Desired</v>
      </c>
      <c r="M16" t="str">
        <f t="shared" si="2"/>
        <v>Not Desired</v>
      </c>
      <c r="N16" t="str">
        <f t="shared" si="3"/>
        <v>Not Desired</v>
      </c>
      <c r="O16" t="str">
        <f t="shared" si="4"/>
        <v>Not Desired</v>
      </c>
      <c r="Q16" t="str">
        <f t="shared" si="5"/>
        <v>Salary&gt;85k</v>
      </c>
      <c r="R16" t="str" cm="1">
        <f t="array" ref="R16">_xlfn.IFS($H16="","no data",$H16&gt;$Q$1,"Salary&gt;85k", TRUE, "Salary Lower")</f>
        <v>Salary&gt;85k</v>
      </c>
    </row>
    <row r="17" spans="1:18" x14ac:dyDescent="0.3">
      <c r="A17" s="1" t="s">
        <v>2</v>
      </c>
      <c r="B17" s="4">
        <v>44985.354097222233</v>
      </c>
      <c r="C17" s="1" t="s">
        <v>76</v>
      </c>
      <c r="D17" s="1" t="s">
        <v>77</v>
      </c>
      <c r="E17" s="1" t="s">
        <v>78</v>
      </c>
      <c r="F17" s="1" t="s">
        <v>70</v>
      </c>
      <c r="G17" s="1" t="s">
        <v>18</v>
      </c>
      <c r="H17" s="1">
        <v>89100</v>
      </c>
      <c r="I17" s="1" t="b">
        <v>0</v>
      </c>
      <c r="J17" s="1" t="s">
        <v>79</v>
      </c>
      <c r="K17" t="str">
        <f t="shared" si="0"/>
        <v>Role Not Desired</v>
      </c>
      <c r="L17" t="str">
        <f t="shared" si="1"/>
        <v>Role Not Desired</v>
      </c>
      <c r="M17" t="str">
        <f t="shared" si="2"/>
        <v>Not Desired</v>
      </c>
      <c r="N17" t="str">
        <f t="shared" si="3"/>
        <v>Not Desired</v>
      </c>
      <c r="O17" t="str">
        <f t="shared" si="4"/>
        <v>Not Desired</v>
      </c>
      <c r="Q17" t="str">
        <f t="shared" si="5"/>
        <v>Salary&gt;85k</v>
      </c>
      <c r="R17" t="str" cm="1">
        <f t="array" ref="R17">_xlfn.IFS($H17="","no data",$H17&gt;$Q$1,"Salary&gt;85k", TRUE, "Salary Lower")</f>
        <v>Salary&gt;85k</v>
      </c>
    </row>
    <row r="18" spans="1:18" x14ac:dyDescent="0.3">
      <c r="A18" s="1" t="s">
        <v>80</v>
      </c>
      <c r="B18" s="4">
        <v>45063.792291666658</v>
      </c>
      <c r="C18" s="1" t="s">
        <v>81</v>
      </c>
      <c r="D18" s="1" t="s">
        <v>15</v>
      </c>
      <c r="E18" s="1" t="s">
        <v>82</v>
      </c>
      <c r="F18" s="1" t="s">
        <v>47</v>
      </c>
      <c r="G18" s="1" t="s">
        <v>24</v>
      </c>
      <c r="H18" s="1"/>
      <c r="I18" s="1" t="b">
        <v>0</v>
      </c>
      <c r="J18" s="1" t="s">
        <v>83</v>
      </c>
      <c r="K18" t="str">
        <f t="shared" si="0"/>
        <v>Role Not Desired</v>
      </c>
      <c r="L18" t="str">
        <f t="shared" si="1"/>
        <v>Role Desired</v>
      </c>
      <c r="M18" t="str">
        <f t="shared" si="2"/>
        <v>Role Desired</v>
      </c>
      <c r="N18" t="str">
        <f t="shared" si="3"/>
        <v>Not Desired</v>
      </c>
      <c r="O18" t="str">
        <f t="shared" si="4"/>
        <v>Role Desired</v>
      </c>
      <c r="Q18" t="str">
        <f t="shared" si="5"/>
        <v>Salary lower</v>
      </c>
      <c r="R18" t="str" cm="1">
        <f t="array" ref="R18">_xlfn.IFS($H18="","no data",$H18&gt;$Q$1,"Salary&gt;85k", TRUE, "Salary Lower")</f>
        <v>no data</v>
      </c>
    </row>
    <row r="19" spans="1:18" x14ac:dyDescent="0.3">
      <c r="A19" s="1" t="s">
        <v>0</v>
      </c>
      <c r="B19" s="4">
        <v>45017.004837962973</v>
      </c>
      <c r="C19" s="1" t="s">
        <v>84</v>
      </c>
      <c r="D19" s="1" t="s">
        <v>35</v>
      </c>
      <c r="E19" s="1" t="s">
        <v>85</v>
      </c>
      <c r="F19" s="1" t="s">
        <v>47</v>
      </c>
      <c r="G19" s="1" t="s">
        <v>18</v>
      </c>
      <c r="H19" s="1">
        <v>87500</v>
      </c>
      <c r="I19" s="1" t="b">
        <v>0</v>
      </c>
      <c r="J19" s="1" t="s">
        <v>86</v>
      </c>
      <c r="K19" t="str">
        <f t="shared" si="0"/>
        <v>Role Not Desired</v>
      </c>
      <c r="L19" t="str">
        <f t="shared" si="1"/>
        <v>Role Not Desired</v>
      </c>
      <c r="M19" t="str">
        <f t="shared" si="2"/>
        <v>Not Desired</v>
      </c>
      <c r="N19" t="str">
        <f t="shared" si="3"/>
        <v>Not Desired</v>
      </c>
      <c r="O19" t="str">
        <f t="shared" si="4"/>
        <v>Not Desired</v>
      </c>
      <c r="Q19" t="str">
        <f t="shared" si="5"/>
        <v>Salary&gt;85k</v>
      </c>
      <c r="R19" t="str" cm="1">
        <f t="array" ref="R19">_xlfn.IFS($H19="","no data",$H19&gt;$Q$1,"Salary&gt;85k", TRUE, "Salary Lower")</f>
        <v>Salary&gt;85k</v>
      </c>
    </row>
    <row r="20" spans="1:18" x14ac:dyDescent="0.3">
      <c r="A20" s="1" t="s">
        <v>0</v>
      </c>
      <c r="B20" s="4">
        <v>45169.64203703704</v>
      </c>
      <c r="C20" s="1" t="s">
        <v>20</v>
      </c>
      <c r="D20" s="1" t="s">
        <v>35</v>
      </c>
      <c r="E20" s="1" t="s">
        <v>87</v>
      </c>
      <c r="F20" s="1" t="s">
        <v>54</v>
      </c>
      <c r="G20" s="1" t="s">
        <v>24</v>
      </c>
      <c r="H20" s="1"/>
      <c r="I20" s="1" t="b">
        <v>1</v>
      </c>
      <c r="J20" s="1" t="s">
        <v>88</v>
      </c>
      <c r="K20" t="str">
        <f t="shared" si="0"/>
        <v>Role Not Desired</v>
      </c>
      <c r="L20" t="str">
        <f t="shared" si="1"/>
        <v>Role Not Desired</v>
      </c>
      <c r="M20" t="str">
        <f t="shared" si="2"/>
        <v>Not Desired</v>
      </c>
      <c r="N20" t="str">
        <f t="shared" si="3"/>
        <v>Not Desired</v>
      </c>
      <c r="O20" t="str">
        <f t="shared" si="4"/>
        <v>Not Desired</v>
      </c>
      <c r="Q20" t="str">
        <f t="shared" si="5"/>
        <v>Salary lower</v>
      </c>
      <c r="R20" t="str" cm="1">
        <f t="array" ref="R20">_xlfn.IFS($H20="","no data",$H20&gt;$Q$1,"Salary&gt;85k", TRUE, "Salary Lower")</f>
        <v>no data</v>
      </c>
    </row>
    <row r="21" spans="1:18" x14ac:dyDescent="0.3">
      <c r="A21" s="1" t="s">
        <v>80</v>
      </c>
      <c r="B21" s="4">
        <v>45000.542685185188</v>
      </c>
      <c r="C21" s="1" t="s">
        <v>89</v>
      </c>
      <c r="D21" s="1" t="s">
        <v>15</v>
      </c>
      <c r="E21" s="1" t="s">
        <v>90</v>
      </c>
      <c r="F21" s="1" t="s">
        <v>91</v>
      </c>
      <c r="G21" s="1" t="s">
        <v>18</v>
      </c>
      <c r="H21" s="1">
        <v>90000</v>
      </c>
      <c r="I21" s="1" t="b">
        <v>0</v>
      </c>
      <c r="J21" s="1" t="s">
        <v>92</v>
      </c>
      <c r="K21" t="str">
        <f t="shared" si="0"/>
        <v>Role Not Desired</v>
      </c>
      <c r="L21" t="str">
        <f t="shared" si="1"/>
        <v>Role Desired</v>
      </c>
      <c r="M21" t="str">
        <f t="shared" si="2"/>
        <v>Role Desired</v>
      </c>
      <c r="N21" t="str">
        <f t="shared" si="3"/>
        <v>Not Desired</v>
      </c>
      <c r="O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data",$H21&gt;$Q$1,"Salary&gt;85k", TRUE, "Salary Lower")</f>
        <v>Salary&gt;85k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Data_2</vt:lpstr>
      <vt:lpstr>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Yorgo El Homsi</cp:lastModifiedBy>
  <dcterms:created xsi:type="dcterms:W3CDTF">2024-07-16T20:11:02Z</dcterms:created>
  <dcterms:modified xsi:type="dcterms:W3CDTF">2026-01-22T15:39:29Z</dcterms:modified>
</cp:coreProperties>
</file>