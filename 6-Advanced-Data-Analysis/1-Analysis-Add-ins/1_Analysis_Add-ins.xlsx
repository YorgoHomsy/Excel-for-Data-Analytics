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for Data Analytics\6-Advanced Data Analysis\1-Analysis Add-ins\"/>
    </mc:Choice>
  </mc:AlternateContent>
  <xr:revisionPtr revIDLastSave="0" documentId="8_{F4572F47-630B-4310-879E-7051A5994D11}" xr6:coauthVersionLast="47" xr6:coauthVersionMax="47" xr10:uidLastSave="{00000000-0000-0000-0000-000000000000}"/>
  <bookViews>
    <workbookView xWindow="0" yWindow="0" windowWidth="11520" windowHeight="12960" firstSheet="7" activeTab="7" xr2:uid="{6C37AC85-509F-4D10-9DB1-F70D16D6FBAB}"/>
  </bookViews>
  <sheets>
    <sheet name="Forecast_Original" sheetId="7" r:id="rId1"/>
    <sheet name="Forecast_Final" sheetId="8" r:id="rId2"/>
    <sheet name="Scenario Summary" sheetId="16" r:id="rId3"/>
    <sheet name="Answer Report 1" sheetId="30" r:id="rId4"/>
    <sheet name="Sensitivity Report 1" sheetId="31" r:id="rId5"/>
    <sheet name="Limits Report 1" sheetId="32" r:id="rId6"/>
    <sheet name="Answer Report 2" sheetId="33" r:id="rId7"/>
    <sheet name="What-If_Analysis" sheetId="3" r:id="rId8"/>
    <sheet name="Scenario_Summary" sheetId="12" r:id="rId9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'What-If_Analysis'!$C$4:$C$5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lhs3" localSheetId="7" hidden="1">'What-If_Analysis'!$C$5</definedName>
    <definedName name="solver_lhs4" localSheetId="7" hidden="1">'What-If_Analysis'!$C$5</definedName>
    <definedName name="solver_lhs5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2</definedName>
    <definedName name="solver_nwt" localSheetId="7" hidden="1">1</definedName>
    <definedName name="solver_opt" localSheetId="7" hidden="1">'What-If_Analysis'!$C$14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el3" localSheetId="7" hidden="1">1</definedName>
    <definedName name="solver_rel4" localSheetId="7" hidden="1">1</definedName>
    <definedName name="solver_rel5" localSheetId="7" hidden="1">1</definedName>
    <definedName name="solver_rhs1" localSheetId="7" hidden="1">0.2</definedName>
    <definedName name="solver_rhs2" localSheetId="7" hidden="1">0.05</definedName>
    <definedName name="solver_rhs3" localSheetId="7" hidden="1">0.004</definedName>
    <definedName name="solver_rhs4" localSheetId="7" hidden="1">0.004</definedName>
    <definedName name="solver_rhs5" localSheetId="7" hidden="1">0.04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5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650000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<sst xmlns="http://schemas.openxmlformats.org/spreadsheetml/2006/main" count="207" uniqueCount="87">
  <si>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</si>
  <si>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</si>
  <si>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</si>
  <si>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</si>
  <si>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</si>
  <si>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</si>
  <si>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</si>
  <si>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</si>
  <si>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</si>
  <si>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</si>
  <si>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</si>
  <si>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</si>
  <si>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</si>
  <si>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</si>
  <si>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</si>
  <si>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</si>
  <si>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</si>
  <si>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</si>
  <si>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</si>
  <si>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</si>
  <si>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</si>
  <si>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</si>
  <si>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</si>
  <si>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</si>
  <si>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</si>
  <si>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</si>
  <si>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</si>
  <si>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</si>
  <si>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</si>
  <si>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</si>
  <si>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</si>
  <si>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</si>
  <si>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</si>
  <si>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</si>
  <si>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</si>
  <si>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</si>
  <si>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</si>
  <si>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</si>
  <si>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</si>
  <si>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Result: Solver found a solution.  All Constraints and optimality conditions are satisfied.</t>
  </si>
  <si>
    <t>Solver Engine</t>
  </si>
  <si>
    <t>Engine: GRG Nonlinear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</si>
  <si>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</si>
  <si>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</si>
  <si>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</si>
  <si>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</si>
  <si>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</si>
  <si>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</si>
  <si>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</si>
  <si>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</si>
  <si>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</si>
  <si>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</si>
  <si>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</si>
  <si>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</si>
  <si>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</si>
  <si>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</si>
  <si>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</si>
  <si>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</si>
  <si>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</si>
  <si>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</si>
  <si>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</si>
  <si>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Binding</t>
  </si>
  <si>
    <t>Not Binding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</si>
  <si>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</si>
  <si>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</si>
  <si>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</si>
  <si>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</si>
  <si>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</si>
  <si>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</si>
  <si>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</si>
  <si>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</si>
  <si>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</si>
  <si>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user on 1/26/2026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</si>
  <si>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</si>
  <si>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</si>
  <si>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</si>
  <si>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</si>
  <si>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</si>
  <si>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</si>
  <si>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</si>
  <si>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Solution Time: 0.11 Seconds.</t>
  </si>
  <si>
    <t>Report Created: 1/26/2026 4:00:53 PM</t>
  </si>
  <si>
    <t>Solution Time: 0.094 Seconds.</t>
  </si>
  <si>
    <t>$C$14=650000</t>
  </si>
  <si>
    <t>Report Created: 1/26/2026 4:09:30 PM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</si>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</sst>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0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  <xf numFmtId="0" fontId="0" fillId="0" borderId="0" xfId="0" applyFill="1" applyBorder="1" applyAlignment="1">
      <alignment vertical="center" wrapText="1"/>
    </xf>
    <xf numFmtId="164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/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2EFD-EAA4-4FD8-B8D0-8C05F5A3556D}">
  <sheetPr>
    <outlinePr summaryBelow="0"/>
  </sheetPr>
  <dimension ref="B1:G18"/>
  <sheetViews>
    <sheetView showGridLines="0" workbookViewId="0">
      <selection activeCell="E8" sqref="E8"/>
    </sheetView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21.6" hidden="1" outlineLevel="1" x14ac:dyDescent="0.3">
      <c r="B4" s="64"/>
      <c r="C4" s="64"/>
      <c r="D4" s="58"/>
      <c r="E4" s="68" t="s">
        <v>72</v>
      </c>
      <c r="F4" s="68" t="s">
        <v>72</v>
      </c>
      <c r="G4" s="68" t="s">
        <v>72</v>
      </c>
    </row>
    <row r="5" spans="2:7" x14ac:dyDescent="0.3">
      <c r="B5" s="25" t="s">
        <v>23</v>
      </c>
      <c r="C5" s="25"/>
      <c r="D5" s="63"/>
      <c r="E5" s="63"/>
      <c r="F5" s="63"/>
      <c r="G5" s="63"/>
    </row>
    <row r="6" spans="2:7" outlineLevel="1" x14ac:dyDescent="0.3">
      <c r="B6" s="64"/>
      <c r="C6" s="64" t="s">
        <v>14</v>
      </c>
      <c r="D6" s="59">
        <v>100000</v>
      </c>
      <c r="E6" s="65">
        <v>100000</v>
      </c>
      <c r="F6" s="65">
        <v>80000</v>
      </c>
      <c r="G6" s="65">
        <v>120000</v>
      </c>
    </row>
    <row r="7" spans="2:7" outlineLevel="1" x14ac:dyDescent="0.3">
      <c r="B7" s="64"/>
      <c r="C7" s="64" t="s">
        <v>15</v>
      </c>
      <c r="D7" s="60">
        <v>0.1</v>
      </c>
      <c r="E7" s="66">
        <v>0.1</v>
      </c>
      <c r="F7" s="66">
        <v>0.15</v>
      </c>
      <c r="G7" s="66">
        <v>0.05</v>
      </c>
    </row>
    <row r="8" spans="2:7" outlineLevel="1" x14ac:dyDescent="0.3">
      <c r="B8" s="64"/>
      <c r="C8" s="64" t="s">
        <v>16</v>
      </c>
      <c r="D8" s="61">
        <v>1.4999999999999999E-2</v>
      </c>
      <c r="E8" s="67">
        <v>1.4999999999999999E-2</v>
      </c>
      <c r="F8" s="67">
        <v>1.2E-2</v>
      </c>
      <c r="G8" s="67">
        <v>8.0000000000000002E-3</v>
      </c>
    </row>
    <row r="9" spans="2:7" x14ac:dyDescent="0.3">
      <c r="B9" s="25" t="s">
        <v>25</v>
      </c>
      <c r="C9" s="25"/>
      <c r="D9" s="63"/>
      <c r="E9" s="63"/>
      <c r="F9" s="63"/>
      <c r="G9" s="63"/>
    </row>
    <row r="10" spans="2:7" outlineLevel="1" x14ac:dyDescent="0.3">
      <c r="B10" s="64"/>
      <c r="C10" s="64" t="s">
        <v>31</v>
      </c>
      <c r="D10" s="59">
        <v>110000</v>
      </c>
      <c r="E10" s="59">
        <v>110000</v>
      </c>
      <c r="F10" s="59">
        <v>110000</v>
      </c>
      <c r="G10" s="59">
        <v>110000</v>
      </c>
    </row>
    <row r="11" spans="2:7" outlineLevel="1" x14ac:dyDescent="0.3">
      <c r="B11" s="64"/>
      <c r="C11" s="64" t="s">
        <v>36</v>
      </c>
      <c r="D11" s="59">
        <v>111650</v>
      </c>
      <c r="E11" s="59">
        <v>111650</v>
      </c>
      <c r="F11" s="59">
        <v>111650</v>
      </c>
      <c r="G11" s="59">
        <v>111650</v>
      </c>
    </row>
    <row r="12" spans="2:7" outlineLevel="1" x14ac:dyDescent="0.3">
      <c r="B12" s="64"/>
      <c r="C12" s="64" t="s">
        <v>32</v>
      </c>
      <c r="D12" s="59">
        <v>113324.75</v>
      </c>
      <c r="E12" s="59">
        <v>113324.75</v>
      </c>
      <c r="F12" s="59">
        <v>113324.75</v>
      </c>
      <c r="G12" s="59">
        <v>113324.75</v>
      </c>
    </row>
    <row r="13" spans="2:7" outlineLevel="1" x14ac:dyDescent="0.3">
      <c r="B13" s="64"/>
      <c r="C13" s="64" t="s">
        <v>33</v>
      </c>
      <c r="D13" s="59">
        <v>115024.62125</v>
      </c>
      <c r="E13" s="59">
        <v>115024.62125</v>
      </c>
      <c r="F13" s="59">
        <v>115024.62125</v>
      </c>
      <c r="G13" s="59">
        <v>115024.62125</v>
      </c>
    </row>
    <row r="14" spans="2:7" outlineLevel="1" x14ac:dyDescent="0.3">
      <c r="B14" s="64"/>
      <c r="C14" s="64" t="s">
        <v>34</v>
      </c>
      <c r="D14" s="59">
        <v>116749.99056875</v>
      </c>
      <c r="E14" s="59">
        <v>116749.99056875</v>
      </c>
      <c r="F14" s="59">
        <v>116749.99056875</v>
      </c>
      <c r="G14" s="59">
        <v>116749.99056875</v>
      </c>
    </row>
    <row r="15" spans="2:7" ht="15" outlineLevel="1" thickBot="1" x14ac:dyDescent="0.35">
      <c r="B15" s="26"/>
      <c r="C15" s="26" t="s">
        <v>35</v>
      </c>
      <c r="D15" s="62">
        <v>566749.36181875004</v>
      </c>
      <c r="E15" s="62">
        <v>566749.36181875004</v>
      </c>
      <c r="F15" s="62">
        <v>566749.36181875004</v>
      </c>
      <c r="G15" s="62">
        <v>566749.36181875004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DEBC-2CD1-4298-A477-BA55D5DC6AB6}">
  <dimension ref="A1:G27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81</v>
      </c>
    </row>
    <row r="4" spans="1:5" x14ac:dyDescent="0.3">
      <c r="A4" s="7" t="s">
        <v>39</v>
      </c>
    </row>
    <row r="5" spans="1:5" x14ac:dyDescent="0.3">
      <c r="A5" s="7" t="s">
        <v>40</v>
      </c>
    </row>
    <row r="6" spans="1:5" hidden="1" outlineLevel="1" x14ac:dyDescent="0.3">
      <c r="A6" s="7"/>
      <c r="B6" t="s">
        <v>41</v>
      </c>
    </row>
    <row r="7" spans="1:5" hidden="1" outlineLevel="1" x14ac:dyDescent="0.3">
      <c r="A7" s="7"/>
      <c r="B7" t="s">
        <v>82</v>
      </c>
    </row>
    <row r="8" spans="1:5" hidden="1" outlineLevel="1" x14ac:dyDescent="0.3">
      <c r="A8" s="7"/>
      <c r="B8" t="s">
        <v>42</v>
      </c>
    </row>
    <row r="9" spans="1:5" collapsed="1" x14ac:dyDescent="0.3">
      <c r="A9" s="7" t="s">
        <v>43</v>
      </c>
    </row>
    <row r="10" spans="1:5" hidden="1" outlineLevel="1" x14ac:dyDescent="0.3">
      <c r="B10" t="s">
        <v>44</v>
      </c>
    </row>
    <row r="11" spans="1:5" hidden="1" outlineLevel="1" x14ac:dyDescent="0.3">
      <c r="B11" t="s">
        <v>45</v>
      </c>
    </row>
    <row r="12" spans="1:5" hidden="1" outlineLevel="1" x14ac:dyDescent="0.3">
      <c r="B12" t="s">
        <v>46</v>
      </c>
    </row>
    <row r="13" spans="1:5" collapsed="1" x14ac:dyDescent="0.3"/>
    <row r="14" spans="1:5" ht="15" thickBot="1" x14ac:dyDescent="0.35">
      <c r="A14" t="s">
        <v>47</v>
      </c>
    </row>
    <row r="15" spans="1:5" ht="15" thickBot="1" x14ac:dyDescent="0.35">
      <c r="B15" s="70" t="s">
        <v>48</v>
      </c>
      <c r="C15" s="70" t="s">
        <v>49</v>
      </c>
      <c r="D15" s="70" t="s">
        <v>50</v>
      </c>
      <c r="E15" s="70" t="s">
        <v>51</v>
      </c>
    </row>
    <row r="16" spans="1:5" ht="15" thickBot="1" x14ac:dyDescent="0.35">
      <c r="B16" s="69" t="s">
        <v>29</v>
      </c>
      <c r="C16" s="69" t="s">
        <v>35</v>
      </c>
      <c r="D16" s="72">
        <v>592510.69640000002</v>
      </c>
      <c r="E16" s="72">
        <v>650000.14800000004</v>
      </c>
    </row>
    <row r="19" spans="1:7" ht="15" thickBot="1" x14ac:dyDescent="0.35">
      <c r="A19" t="s">
        <v>52</v>
      </c>
    </row>
    <row r="20" spans="1:7" ht="15" thickBot="1" x14ac:dyDescent="0.35">
      <c r="B20" s="70" t="s">
        <v>48</v>
      </c>
      <c r="C20" s="70" t="s">
        <v>49</v>
      </c>
      <c r="D20" s="70" t="s">
        <v>50</v>
      </c>
      <c r="E20" s="70" t="s">
        <v>51</v>
      </c>
      <c r="F20" s="70" t="s">
        <v>53</v>
      </c>
    </row>
    <row r="21" spans="1:7" x14ac:dyDescent="0.3">
      <c r="B21" s="71" t="s">
        <v>58</v>
      </c>
      <c r="C21" s="71" t="s">
        <v>15</v>
      </c>
      <c r="D21" s="73">
        <v>0.15</v>
      </c>
      <c r="E21" s="73">
        <v>0.2554761150253661</v>
      </c>
      <c r="F21" s="71" t="s">
        <v>59</v>
      </c>
    </row>
    <row r="22" spans="1:7" ht="15" thickBot="1" x14ac:dyDescent="0.35">
      <c r="B22" s="69" t="s">
        <v>60</v>
      </c>
      <c r="C22" s="69" t="s">
        <v>16</v>
      </c>
      <c r="D22" s="74">
        <v>1.4999999999999999E-2</v>
      </c>
      <c r="E22" s="74">
        <v>1.742568115119528E-2</v>
      </c>
      <c r="F22" s="69" t="s">
        <v>59</v>
      </c>
    </row>
    <row r="25" spans="1:7" ht="15" thickBot="1" x14ac:dyDescent="0.35">
      <c r="A25" t="s">
        <v>54</v>
      </c>
    </row>
    <row r="26" spans="1:7" ht="15" thickBot="1" x14ac:dyDescent="0.35">
      <c r="B26" s="70" t="s">
        <v>48</v>
      </c>
      <c r="C26" s="70" t="s">
        <v>49</v>
      </c>
      <c r="D26" s="70" t="s">
        <v>55</v>
      </c>
      <c r="E26" s="70" t="s">
        <v>56</v>
      </c>
      <c r="F26" s="70" t="s">
        <v>57</v>
      </c>
      <c r="G26" s="70" t="s">
        <v>8</v>
      </c>
    </row>
    <row r="27" spans="1:7" ht="15" thickBot="1" x14ac:dyDescent="0.35">
      <c r="B27" s="69" t="s">
        <v>29</v>
      </c>
      <c r="C27" s="69" t="s">
        <v>35</v>
      </c>
      <c r="D27" s="72">
        <v>650000.15</v>
      </c>
      <c r="E27" s="69" t="s">
        <v>83</v>
      </c>
      <c r="F27" s="69" t="s">
        <v>61</v>
      </c>
      <c r="G27" s="6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2661-DCEC-453F-A224-5F1CF96CFA61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74</v>
      </c>
    </row>
    <row r="2" spans="1:5" x14ac:dyDescent="0.3">
      <c r="A2" s="7" t="s">
        <v>38</v>
      </c>
    </row>
    <row r="3" spans="1:5" x14ac:dyDescent="0.3">
      <c r="A3" s="7" t="s">
        <v>81</v>
      </c>
    </row>
    <row r="6" spans="1:5" ht="15" thickBot="1" x14ac:dyDescent="0.35">
      <c r="A6" t="s">
        <v>52</v>
      </c>
    </row>
    <row r="7" spans="1:5" x14ac:dyDescent="0.3">
      <c r="B7" s="75"/>
      <c r="C7" s="75"/>
      <c r="D7" s="75" t="s">
        <v>75</v>
      </c>
      <c r="E7" s="75" t="s">
        <v>76</v>
      </c>
    </row>
    <row r="8" spans="1:5" ht="15" thickBot="1" x14ac:dyDescent="0.35">
      <c r="B8" s="76" t="s">
        <v>48</v>
      </c>
      <c r="C8" s="76" t="s">
        <v>49</v>
      </c>
      <c r="D8" s="76" t="s">
        <v>63</v>
      </c>
      <c r="E8" s="76" t="s">
        <v>77</v>
      </c>
    </row>
    <row r="9" spans="1:5" x14ac:dyDescent="0.3">
      <c r="B9" s="71" t="s">
        <v>58</v>
      </c>
      <c r="C9" s="71" t="s">
        <v>15</v>
      </c>
      <c r="D9" s="71">
        <v>0.2554761150253661</v>
      </c>
      <c r="E9" s="71">
        <v>0</v>
      </c>
    </row>
    <row r="10" spans="1:5" ht="15" thickBot="1" x14ac:dyDescent="0.35">
      <c r="B10" s="69" t="s">
        <v>60</v>
      </c>
      <c r="C10" s="69" t="s">
        <v>16</v>
      </c>
      <c r="D10" s="69">
        <v>1.742568115119528E-2</v>
      </c>
      <c r="E10" s="69">
        <v>0</v>
      </c>
    </row>
    <row r="12" spans="1:5" ht="15" thickBot="1" x14ac:dyDescent="0.35">
      <c r="A12" t="s">
        <v>54</v>
      </c>
    </row>
    <row r="13" spans="1:5" x14ac:dyDescent="0.3">
      <c r="B13" s="75"/>
      <c r="C13" s="75"/>
      <c r="D13" s="75" t="s">
        <v>75</v>
      </c>
      <c r="E13" s="75" t="s">
        <v>78</v>
      </c>
    </row>
    <row r="14" spans="1:5" ht="15" thickBot="1" x14ac:dyDescent="0.35">
      <c r="B14" s="76" t="s">
        <v>48</v>
      </c>
      <c r="C14" s="76" t="s">
        <v>49</v>
      </c>
      <c r="D14" s="76" t="s">
        <v>63</v>
      </c>
      <c r="E14" s="76" t="s">
        <v>79</v>
      </c>
    </row>
    <row r="15" spans="1:5" ht="15" thickBot="1" x14ac:dyDescent="0.35">
      <c r="B15" s="69" t="s">
        <v>29</v>
      </c>
      <c r="C15" s="69" t="s">
        <v>35</v>
      </c>
      <c r="D15" s="77">
        <v>650000.15</v>
      </c>
      <c r="E15" s="6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E220-1CC7-4645-9196-0D03958F83A4}">
  <dimension ref="A1:J14"/>
  <sheetViews>
    <sheetView showGridLines="0" workbookViewId="0">
      <selection sqref="A1:A3"/>
    </sheetView>
  </sheetViews>
  <sheetFormatPr defaultRowHeight="14.4" x14ac:dyDescent="0.3"/>
  <cols>
    <col min="1" max="1" width="2.33203125" customWidth="1"/>
    <col min="2" max="2" width="4.33203125" bestFit="1" customWidth="1"/>
    <col min="3" max="3" width="8" bestFit="1" customWidth="1"/>
    <col min="4" max="4" width="9.664062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7" t="s">
        <v>64</v>
      </c>
    </row>
    <row r="2" spans="1:10" x14ac:dyDescent="0.3">
      <c r="A2" s="7" t="s">
        <v>38</v>
      </c>
    </row>
    <row r="3" spans="1:10" x14ac:dyDescent="0.3">
      <c r="A3" s="7" t="s">
        <v>81</v>
      </c>
    </row>
    <row r="5" spans="1:10" ht="15" thickBot="1" x14ac:dyDescent="0.35"/>
    <row r="6" spans="1:10" x14ac:dyDescent="0.3">
      <c r="B6" s="75"/>
      <c r="C6" s="75" t="s">
        <v>65</v>
      </c>
      <c r="D6" s="75"/>
    </row>
    <row r="7" spans="1:10" ht="15" thickBot="1" x14ac:dyDescent="0.35">
      <c r="B7" s="76" t="s">
        <v>48</v>
      </c>
      <c r="C7" s="76" t="s">
        <v>49</v>
      </c>
      <c r="D7" s="76" t="s">
        <v>63</v>
      </c>
    </row>
    <row r="8" spans="1:10" ht="15" thickBot="1" x14ac:dyDescent="0.35">
      <c r="B8" s="69" t="s">
        <v>29</v>
      </c>
      <c r="C8" s="69" t="s">
        <v>35</v>
      </c>
      <c r="D8" s="72">
        <v>650000.14800000004</v>
      </c>
    </row>
    <row r="10" spans="1:10" ht="15" thickBot="1" x14ac:dyDescent="0.35"/>
    <row r="11" spans="1:10" x14ac:dyDescent="0.3">
      <c r="B11" s="75"/>
      <c r="C11" s="75" t="s">
        <v>66</v>
      </c>
      <c r="D11" s="75"/>
      <c r="F11" s="75" t="s">
        <v>67</v>
      </c>
      <c r="G11" s="75" t="s">
        <v>65</v>
      </c>
      <c r="I11" s="75" t="s">
        <v>70</v>
      </c>
      <c r="J11" s="75" t="s">
        <v>65</v>
      </c>
    </row>
    <row r="12" spans="1:10" ht="15" thickBot="1" x14ac:dyDescent="0.35">
      <c r="B12" s="76" t="s">
        <v>48</v>
      </c>
      <c r="C12" s="76" t="s">
        <v>49</v>
      </c>
      <c r="D12" s="76" t="s">
        <v>63</v>
      </c>
      <c r="F12" s="76" t="s">
        <v>68</v>
      </c>
      <c r="G12" s="76" t="s">
        <v>69</v>
      </c>
      <c r="I12" s="76" t="s">
        <v>68</v>
      </c>
      <c r="J12" s="76" t="s">
        <v>69</v>
      </c>
    </row>
    <row r="13" spans="1:10" x14ac:dyDescent="0.3">
      <c r="B13" s="71" t="s">
        <v>58</v>
      </c>
      <c r="C13" s="71" t="s">
        <v>15</v>
      </c>
      <c r="D13" s="73">
        <v>0.2554761150253661</v>
      </c>
      <c r="F13" s="73">
        <v>0</v>
      </c>
      <c r="G13" s="73">
        <v>517731.99</v>
      </c>
      <c r="I13" s="71" t="e">
        <v>#N/A</v>
      </c>
      <c r="J13" s="71" t="e">
        <v>#N/A</v>
      </c>
    </row>
    <row r="14" spans="1:10" ht="15" thickBot="1" x14ac:dyDescent="0.35">
      <c r="B14" s="69" t="s">
        <v>60</v>
      </c>
      <c r="C14" s="69" t="s">
        <v>16</v>
      </c>
      <c r="D14" s="74">
        <v>1.742568115119528E-2</v>
      </c>
      <c r="F14" s="74">
        <v>0</v>
      </c>
      <c r="G14" s="74">
        <v>627738.06000000006</v>
      </c>
      <c r="I14" s="69"/>
      <c r="J14" s="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27F9-17B5-48CC-8E88-E02B0311E442}">
  <dimension ref="A1:G29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1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84</v>
      </c>
    </row>
    <row r="4" spans="1:5" x14ac:dyDescent="0.3">
      <c r="A4" s="7" t="s">
        <v>39</v>
      </c>
    </row>
    <row r="5" spans="1:5" x14ac:dyDescent="0.3">
      <c r="A5" s="7" t="s">
        <v>40</v>
      </c>
    </row>
    <row r="6" spans="1:5" hidden="1" outlineLevel="1" x14ac:dyDescent="0.3">
      <c r="A6" s="7"/>
      <c r="B6" t="s">
        <v>41</v>
      </c>
    </row>
    <row r="7" spans="1:5" hidden="1" outlineLevel="1" x14ac:dyDescent="0.3">
      <c r="A7" s="7"/>
      <c r="B7" t="s">
        <v>80</v>
      </c>
    </row>
    <row r="8" spans="1:5" hidden="1" outlineLevel="1" x14ac:dyDescent="0.3">
      <c r="A8" s="7"/>
      <c r="B8" t="s">
        <v>73</v>
      </c>
    </row>
    <row r="9" spans="1:5" collapsed="1" x14ac:dyDescent="0.3">
      <c r="A9" s="7" t="s">
        <v>43</v>
      </c>
    </row>
    <row r="10" spans="1:5" hidden="1" outlineLevel="1" x14ac:dyDescent="0.3">
      <c r="B10" t="s">
        <v>44</v>
      </c>
    </row>
    <row r="11" spans="1:5" hidden="1" outlineLevel="1" x14ac:dyDescent="0.3">
      <c r="B11" t="s">
        <v>45</v>
      </c>
    </row>
    <row r="12" spans="1:5" hidden="1" outlineLevel="1" x14ac:dyDescent="0.3">
      <c r="B12" t="s">
        <v>46</v>
      </c>
    </row>
    <row r="13" spans="1:5" collapsed="1" x14ac:dyDescent="0.3"/>
    <row r="14" spans="1:5" ht="15" thickBot="1" x14ac:dyDescent="0.35">
      <c r="A14" t="s">
        <v>47</v>
      </c>
    </row>
    <row r="15" spans="1:5" ht="15" thickBot="1" x14ac:dyDescent="0.35">
      <c r="B15" s="70" t="s">
        <v>48</v>
      </c>
      <c r="C15" s="70" t="s">
        <v>49</v>
      </c>
      <c r="D15" s="70" t="s">
        <v>50</v>
      </c>
      <c r="E15" s="70" t="s">
        <v>51</v>
      </c>
    </row>
    <row r="16" spans="1:5" ht="15" thickBot="1" x14ac:dyDescent="0.35">
      <c r="B16" s="69" t="s">
        <v>29</v>
      </c>
      <c r="C16" s="69" t="s">
        <v>35</v>
      </c>
      <c r="D16" s="72">
        <v>622877.09439999994</v>
      </c>
      <c r="E16" s="72">
        <v>650000.35329999996</v>
      </c>
    </row>
    <row r="19" spans="1:7" ht="15" thickBot="1" x14ac:dyDescent="0.35">
      <c r="A19" t="s">
        <v>52</v>
      </c>
    </row>
    <row r="20" spans="1:7" ht="15" thickBot="1" x14ac:dyDescent="0.35">
      <c r="B20" s="70" t="s">
        <v>48</v>
      </c>
      <c r="C20" s="70" t="s">
        <v>49</v>
      </c>
      <c r="D20" s="70" t="s">
        <v>50</v>
      </c>
      <c r="E20" s="70" t="s">
        <v>51</v>
      </c>
      <c r="F20" s="70" t="s">
        <v>53</v>
      </c>
    </row>
    <row r="21" spans="1:7" x14ac:dyDescent="0.3">
      <c r="B21" s="71" t="s">
        <v>58</v>
      </c>
      <c r="C21" s="71" t="s">
        <v>15</v>
      </c>
      <c r="D21" s="73">
        <v>0.15</v>
      </c>
      <c r="E21" s="73">
        <v>0.18603671033656949</v>
      </c>
      <c r="F21" s="71" t="s">
        <v>59</v>
      </c>
    </row>
    <row r="22" spans="1:7" ht="15" thickBot="1" x14ac:dyDescent="0.35">
      <c r="B22" s="69" t="s">
        <v>60</v>
      </c>
      <c r="C22" s="69" t="s">
        <v>16</v>
      </c>
      <c r="D22" s="74">
        <v>0.04</v>
      </c>
      <c r="E22" s="74">
        <v>4.5889440369458308E-2</v>
      </c>
      <c r="F22" s="69" t="s">
        <v>59</v>
      </c>
    </row>
    <row r="25" spans="1:7" ht="15" thickBot="1" x14ac:dyDescent="0.35">
      <c r="A25" t="s">
        <v>54</v>
      </c>
    </row>
    <row r="26" spans="1:7" ht="15" thickBot="1" x14ac:dyDescent="0.35">
      <c r="B26" s="70" t="s">
        <v>48</v>
      </c>
      <c r="C26" s="70" t="s">
        <v>49</v>
      </c>
      <c r="D26" s="70" t="s">
        <v>55</v>
      </c>
      <c r="E26" s="70" t="s">
        <v>56</v>
      </c>
      <c r="F26" s="70" t="s">
        <v>57</v>
      </c>
      <c r="G26" s="70" t="s">
        <v>8</v>
      </c>
    </row>
    <row r="27" spans="1:7" x14ac:dyDescent="0.3">
      <c r="B27" s="71" t="s">
        <v>29</v>
      </c>
      <c r="C27" s="71" t="s">
        <v>35</v>
      </c>
      <c r="D27" s="79">
        <v>650000.35</v>
      </c>
      <c r="E27" s="71" t="s">
        <v>83</v>
      </c>
      <c r="F27" s="71" t="s">
        <v>61</v>
      </c>
      <c r="G27" s="71">
        <v>0</v>
      </c>
    </row>
    <row r="28" spans="1:7" x14ac:dyDescent="0.3">
      <c r="B28" s="71" t="s">
        <v>58</v>
      </c>
      <c r="C28" s="71" t="s">
        <v>15</v>
      </c>
      <c r="D28" s="73">
        <v>0.18603671033656949</v>
      </c>
      <c r="E28" s="71" t="s">
        <v>85</v>
      </c>
      <c r="F28" s="71" t="s">
        <v>62</v>
      </c>
      <c r="G28" s="71">
        <v>1.3963289663430523E-2</v>
      </c>
    </row>
    <row r="29" spans="1:7" ht="15" thickBot="1" x14ac:dyDescent="0.35">
      <c r="B29" s="69" t="s">
        <v>60</v>
      </c>
      <c r="C29" s="69" t="s">
        <v>16</v>
      </c>
      <c r="D29" s="74">
        <v>4.5889440369458308E-2</v>
      </c>
      <c r="E29" s="69" t="s">
        <v>86</v>
      </c>
      <c r="F29" s="69" t="s">
        <v>62</v>
      </c>
      <c r="G29" s="69">
        <v>4.110559630541695E-3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E9" sqref="E9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56" t="s">
        <v>4</v>
      </c>
      <c r="C2" s="57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0.18603671033656949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4.5889440369458308E-2</v>
      </c>
      <c r="E5" s="48" t="s">
        <v>21</v>
      </c>
      <c r="F5" s="49">
        <v>120000</v>
      </c>
      <c r="G5" s="50">
        <v>0.05</v>
      </c>
      <c r="H5" s="51">
        <v>8.0000000000000002E-3</v>
      </c>
    </row>
    <row r="6" spans="2:8" ht="29.4" thickBot="1" x14ac:dyDescent="0.35">
      <c r="E6" s="52" t="s">
        <v>71</v>
      </c>
      <c r="F6" s="53" t="e">
        <f>NA()</f>
        <v>#N/A</v>
      </c>
      <c r="G6" s="54">
        <v>0.25</v>
      </c>
      <c r="H6" s="55">
        <v>0.04</v>
      </c>
    </row>
    <row r="7" spans="2:8" x14ac:dyDescent="0.3">
      <c r="B7" s="56" t="s">
        <v>5</v>
      </c>
      <c r="C7" s="57"/>
    </row>
    <row r="8" spans="2:8" x14ac:dyDescent="0.3">
      <c r="B8" s="5" t="s">
        <v>6</v>
      </c>
      <c r="C8" s="6" t="s">
        <v>7</v>
      </c>
      <c r="E8" s="78"/>
    </row>
    <row r="9" spans="2:8" x14ac:dyDescent="0.3">
      <c r="B9" s="4">
        <v>0</v>
      </c>
      <c r="C9" s="2">
        <f>(base*(1+raise)^B9)*(1+bonus)</f>
        <v>118603.67103365694</v>
      </c>
    </row>
    <row r="10" spans="2:8" x14ac:dyDescent="0.3">
      <c r="B10" s="4">
        <v>1</v>
      </c>
      <c r="C10" s="2">
        <f>(base*(1+raise)^B10)*(1+bonus)</f>
        <v>124046.3271231548</v>
      </c>
    </row>
    <row r="11" spans="2:8" x14ac:dyDescent="0.3">
      <c r="B11" s="4">
        <v>2</v>
      </c>
      <c r="C11" s="2">
        <f>(base*(1+raise)^B11)*(1+bonus)</f>
        <v>129738.74365472313</v>
      </c>
    </row>
    <row r="12" spans="2:8" x14ac:dyDescent="0.3">
      <c r="B12" s="4">
        <v>3</v>
      </c>
      <c r="C12" s="2">
        <f>(base*(1+raise)^B12)*(1+bonus)</f>
        <v>135692.38199527498</v>
      </c>
    </row>
    <row r="13" spans="2:8" ht="15" thickBot="1" x14ac:dyDescent="0.35">
      <c r="B13" s="36">
        <v>4</v>
      </c>
      <c r="C13" s="37">
        <f>(base*(1+raise)^B13)*(1+bonus)</f>
        <v>141919.2294674369</v>
      </c>
    </row>
    <row r="14" spans="2:8" ht="15.6" thickTop="1" thickBot="1" x14ac:dyDescent="0.35">
      <c r="B14" s="34" t="s">
        <v>3</v>
      </c>
      <c r="C14" s="35">
        <f>SUM(C9:C13)</f>
        <v>650000.35327424668</v>
      </c>
    </row>
  </sheetData>
  <scenarios current="2" sqref="C9:C14">
    <scenario name="Job 1" locked="1" count="3" user="user" comment="Created by user on 1/26/2026">
      <inputCells r="C3" val="100000" numFmtId="164"/>
      <inputCells r="C4" val="0.1" numFmtId="9"/>
      <inputCells r="C5" val="0.015" numFmtId="165"/>
    </scenario>
    <scenario name="Job 2" locked="1" count="3" user="user" comment="Created by user on 1/26/2026">
      <inputCells r="C3" val="80000" numFmtId="164"/>
      <inputCells r="C4" val="0.15" numFmtId="9"/>
      <inputCells r="C5" val="0.012" numFmtId="165"/>
    </scenario>
    <scenario name="Job 3" locked="1" count="3" user="user" comment="Created by user on 1/26/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Yorgo El Homsi</cp:lastModifiedBy>
  <dcterms:created xsi:type="dcterms:W3CDTF">2024-08-08T18:34:47Z</dcterms:created>
  <dcterms:modified xsi:type="dcterms:W3CDTF">2026-01-26T14:58:09Z</dcterms:modified>
</cp:coreProperties>
</file>